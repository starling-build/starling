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lgungsverlauf" sheetId="1" state="visible" r:id="rId3"/>
    <sheet name="Infos" sheetId="2" state="visible" r:id="rId4"/>
    <sheet name="Hitab" sheetId="3" state="hidden" r:id="rId5"/>
  </sheets>
  <definedNames>
    <definedName function="false" hidden="false" localSheetId="0" name="_xlnm.Print_Titles" vbProcedure="false">Tilgungsverlauf!$17:$17</definedName>
    <definedName function="false" hidden="false" name="Anz.Raten" vbProcedure="false">Hitab!$G$12</definedName>
    <definedName function="false" hidden="false" name="Anzahl_Monate" vbProcedure="false">Tilgungsverlauf!$P$18:$P$31</definedName>
    <definedName function="false" hidden="false" name="Betrag" vbProcedure="false">Tilgungsverlauf!$J$18:$J$31</definedName>
    <definedName function="false" hidden="false" name="eff.zins" vbProcedure="false">Hitab!$G$15</definedName>
    <definedName function="false" hidden="false" name="Jahres_Berechnung" vbProcedure="false">IF(ISNUMBER(Kredit),SUM(INT(Anzahl_Monate/12))," ")</definedName>
    <definedName function="false" hidden="false" name="Kredit" vbProcedure="false">Tilgungsverlauf!$G$18:$G$31</definedName>
    <definedName function="false" hidden="false" name="Kreditbetrag" vbProcedure="false">Tilgungsverlauf!$G$4</definedName>
    <definedName function="false" hidden="false" name="Kum_Betrag" vbProcedure="false">Tilgungsverlauf!$N$18:$N$31</definedName>
    <definedName function="false" hidden="false" name="Kum_Tilgung" vbProcedure="false">Tilgungsverlauf!$M$18:$M$31</definedName>
    <definedName function="false" hidden="false" name="Kum_Zinsen" vbProcedure="false">Tilgungsverlauf!$L$18:$L$31</definedName>
    <definedName function="false" hidden="false" name="letzte_Zahlung" vbProcedure="false">Hitab!$K$10</definedName>
    <definedName function="false" hidden="false" name="periodische_Zahlung" vbProcedure="false">Tilgungsverlauf!$G$11</definedName>
    <definedName function="false" hidden="false" name="Tilgung" vbProcedure="false">Tilgungsverlauf!$I$18:$I$31</definedName>
    <definedName function="false" hidden="false" name="Tilgungsverlauf_rechnen" vbProcedure="false">Tilgungsverlauf!$N$12</definedName>
    <definedName function="false" hidden="false" name="Tilgung_in_Anzahl_Perioden" vbProcedure="false">Tilgungsverlauf!$G$8</definedName>
    <definedName function="false" hidden="false" name="Tilgung_in_DM" vbProcedure="false">Tilgungsverlauf!$G$7</definedName>
    <definedName function="false" hidden="false" name="Tilgung_in_Prozent" vbProcedure="false">Tilgungsverlauf!$G$6</definedName>
    <definedName function="false" hidden="false" name="Zahlweise" vbProcedure="false">Tilgungsverlauf!$G$9</definedName>
    <definedName function="false" hidden="false" name="zeige_Jahr" vbProcedure="false">IF(Tilgungsverlauf_rechnen="J",IF(ISNUMBER(Betrag),SUM(INT(Anzahl_Monate/12))," ")," ")</definedName>
    <definedName function="false" hidden="false" name="Zinsen" vbProcedure="false">Tilgungsverlauf!$H$18:$H$31</definedName>
    <definedName function="false" hidden="false" name="Zinssatz_in_Prozent" vbProcedure="false">Tilgungsverlauf!$G$5</definedName>
    <definedName function="false" hidden="false" localSheetId="0" name="rechne.AnzMonate" vbProcedure="false">IF(Tilgungsverlauf_rechnen="J",IF(ISNUMBER(Tilgungsverlauf!$G1048576),Tilgungsverlauf!$P1048576+Hitab!Monate_add," ")," ")</definedName>
    <definedName function="false" hidden="false" localSheetId="2" name="Monate_add" vbProcedure="false">Hitab!$B$5</definedName>
    <definedName function="false" hidden="false" localSheetId="0" name="rechne.Betrag" vbProcedure="false">IF(Tilgungsverlauf_rechnen="J",IF(ISNUMBER(Tilgungsverlauf!XFD1),SUM(Tilgungsverlauf!XFC1:XFD1)," ")," ")</definedName>
    <definedName function="false" hidden="false" localSheetId="0" name="rechne.GesAufwand" vbProcedure="false">IF(Tilgungsverlauf_rechnen="J",IF(ISNUMBER(Tilgungsverlauf!$J1),SUM(Tilgungsverlauf!$H1:$I1,Tilgungsverlauf!$N1048576,Tilgungsverlauf!$Q1)," ")," ")</definedName>
    <definedName function="false" hidden="false" localSheetId="0" name="rechne.GesTilg" vbProcedure="false">IF(Tilgungsverlauf_rechnen="J",IF(ISNUMBER(Tilgungsverlauf!$I1),SUM(Tilgungsverlauf!$I1,Tilgungsverlauf!$M1048576,Tilgungsverlauf!$Q1)," ")," ")</definedName>
    <definedName function="false" hidden="false" localSheetId="0" name="rechne.GesZins" vbProcedure="false">IF(Tilgungsverlauf_rechnen="J",IF(ISNUMBER(Tilgungsverlauf!XFB1),SUM(Tilgungsverlauf!$H1,Tilgungsverlauf!$L1048576)," ")," ")</definedName>
    <definedName function="false" hidden="false" localSheetId="0" name="rechne.Restkredit" vbProcedure="false">IF(Tilgungsverlauf_rechnen="J",IF(ISNUMBER(Tilgungsverlauf!$G1048576),IF(Tilgungsverlauf!$G1048576&gt;Hitab!$G$11,SUM(Tilgungsverlauf!$G1048576*Hitab!$G$5/100/Hitab!Divisor,-Hitab!$G$11,-Tilgungsverlauf!$Q1,+Tilgungsverlauf!$G1048576)," ")," ")," ")</definedName>
    <definedName function="false" hidden="false" localSheetId="2" name="Divisor" vbProcedure="false">Hitab!$B$3</definedName>
    <definedName function="false" hidden="false" localSheetId="0" name="rechne.Tilgung" vbProcedure="false">IF(Tilgungsverlauf_rechnen="J",IF(ISNUMBER(Tilgungsverlauf!XFC1048576),IF(Tilgungsverlauf!XFC1048576&gt;Hitab!$G$11,SUM(Hitab!$G$11-Tilgungsverlauf!XFD1,),SUM(Tilgungsverlauf!XFC1048576))," ")," ")</definedName>
    <definedName function="false" hidden="false" localSheetId="0" name="rechne.Zahlungstermine" vbProcedure="false">IF(AND(Tilgungsverlauf!$G$10&lt;&gt;"",Tilgungsverlauf!$N$12="J",ISNUMBER(Tilgungsverlauf!$P1)), IF(DAY(DATE(YEAR(Tilgungsverlauf!$G$10),MONTH(Tilgungsverlauf!$G$10)+( Tilgungsverlauf!$P1)-(Tilgungsverlauf!$P$19),DAY(Tilgungsverlauf!$G$10)))&lt;DAY(Tilgungsverlauf!$G$10),EOMONTH(DATE(YEAR(Tilgungsverlauf!$G$10),MONTH(Tilgungsverlauf!$G$10)+( Tilgungsverlauf!$P1)-( Tilgungsverlauf!$P$19),DAY(Tilgungsverlauf!$G$10)),-1),DATE(YEAR(Tilgungsverlauf!$G$10),MONTH(Tilgungsverlauf!$G$10)+( Tilgungsverlauf!$P1)-( Tilgungsverlauf!$P$19),DAY(Tilgungsverlauf!$G$10)))," ")</definedName>
    <definedName function="false" hidden="false" localSheetId="0" name="rechne.Zinsen" vbProcedure="false">IF(Tilgungsverlauf_rechnen="J",IF(ISNUMBER(Tilgungsverlauf!$G1048576),SUM(Tilgungsverlauf!$G1048576*Hitab!$G$5/100/Hitab!Divisor)," ")," ")</definedName>
    <definedName function="false" hidden="false" localSheetId="0" name="zeige.Jahr" vbProcedure="false">IF(Tilgungsverlauf!$N$12="J",IF(ISNUMBER(Tilgungsverlauf!$I1),SUM(INT(Tilgungsverlauf!$P1/12))," ")," ")</definedName>
    <definedName function="false" hidden="false" localSheetId="0" name="zeige.Jahrtxt" vbProcedure="false">IF(Tilgungsverlauf!$N$12="J",IF(ISNUMBER(Tilgungsverlauf!H1),IF(Tilgungsverlauf!XFD1=0," ",IF(Tilgungsverlauf!XFD1=1," Jahr"," Jahre"))," ")," ")</definedName>
    <definedName function="false" hidden="false" localSheetId="0" name="zeige.Monat" vbProcedure="false">IF(Tilgungsverlauf!$N$12="J",IF(ISNUMBER(Tilgungsverlauf!$P1),IF(Tilgungsverlauf!$P1&gt;11,SUM(Tilgungsverlauf!$P1,-Tilgungsverlauf!$B1*12),SUM(Tilgungsverlauf!$B1*12,-(Tilgungsverlauf!$P1*-1)))," ")," ")</definedName>
    <definedName function="false" hidden="false" localSheetId="0" name="zeige.Monattxt" vbProcedure="false">IF(Tilgungsverlauf_rechnen="J",IF(ISNUMBER(Tilgungsverlauf!XFD1),IF(Tilgungsverlauf!XFD1=0," ",IF(Tilgungsverlauf!XFD1=1," Monat"," Monate"))," ")," ")</definedName>
    <definedName function="false" hidden="false" localSheetId="2" name="Anzahl_Z_Perioden" vbProcedure="false">Hitab!$B$4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author>
  </authors>
  <commentList>
    <comment ref="E12" authorId="0">
      <text>
        <r>
          <rPr>
            <sz val="10"/>
            <rFont val="Arial"/>
            <family val="2"/>
          </rPr>
          <t xml:space="preserve">WS-53:
</t>
        </r>
        <r>
          <rPr>
            <sz val="9"/>
            <color rgb="FF000000"/>
            <rFont val="Tahoma"/>
            <family val="2"/>
            <charset val="1"/>
          </rPr>
          <t xml:space="preserve">
Der Tilgungsverlauf ist auf 480 Zahlungstermine begrenzt. Bei monatlicher Zahlung sind dies 40
Jahre.</t>
        </r>
      </text>
      <mc:AlternateContent>
        <mc:Choice Requires="v2">
          <commentPr autoFill="true" autoScale="false" colHidden="false" locked="false" rowHidden="false" textHAlign="justify" textVAlign="top">
            <anchor moveWithCells="false" sizeWithCells="false">
              <xdr:from>
                <xdr:col>5</xdr:col>
                <xdr:colOff>16</xdr:colOff>
                <xdr:row>10</xdr:row>
                <xdr:rowOff>12</xdr:rowOff>
              </xdr:from>
              <xdr:to>
                <xdr:col>7</xdr:col>
                <xdr:colOff>36</xdr:colOff>
                <xdr:row>16</xdr:row>
                <xdr:rowOff>20</xdr:rowOff>
              </xdr:to>
            </anchor>
          </commentPr>
        </mc:Choice>
        <mc:Fallback/>
      </mc:AlternateContent>
    </comment>
    <comment ref="N12" authorId="0">
      <text>
        <r>
          <rPr>
            <sz val="10"/>
            <rFont val="Arial"/>
            <family val="2"/>
          </rPr>
          <t xml:space="preserve">WS-53:
</t>
        </r>
        <r>
          <rPr>
            <sz val="9"/>
            <color rgb="FF000000"/>
            <rFont val="Tahoma"/>
            <family val="2"/>
            <charset val="1"/>
          </rPr>
          <t xml:space="preserve">
Ist die Anzeige des Tilgungsverlaufs deaktiviert, können keine Sondertilgungen berücksichtigt werden.</t>
        </r>
      </text>
      <mc:AlternateContent>
        <mc:Choice Requires="v2">
          <commentPr autoFill="true" autoScale="false" colHidden="false" locked="false" rowHidden="false" textHAlign="justify" textVAlign="top">
            <anchor moveWithCells="false" sizeWithCells="false">
              <xdr:from>
                <xdr:col>14</xdr:col>
                <xdr:colOff>16</xdr:colOff>
                <xdr:row>10</xdr:row>
                <xdr:rowOff>12</xdr:rowOff>
              </xdr:from>
              <xdr:to>
                <xdr:col>18</xdr:col>
                <xdr:colOff>84</xdr:colOff>
                <xdr:row>16</xdr:row>
                <xdr:rowOff>12</xdr:rowOff>
              </xdr:to>
            </anchor>
          </commentPr>
        </mc:Choice>
        <mc:Fallback/>
      </mc:AlternateContent>
    </comment>
    <comment ref="O14" authorId="0">
      <text>
        <r>
          <rPr>
            <sz val="10"/>
            <rFont val="Arial"/>
            <family val="2"/>
          </rPr>
          <t xml:space="preserve">WS-53:
</t>
        </r>
        <r>
          <rPr>
            <sz val="9"/>
            <color rgb="FF000000"/>
            <rFont val="Tahoma"/>
            <family val="2"/>
            <charset val="1"/>
          </rPr>
          <t xml:space="preserve">
Bei den Berechnungen </t>
        </r>
        <r>
          <rPr>
            <b val="true"/>
            <sz val="9"/>
            <color rgb="FF000000"/>
            <rFont val="Tahoma"/>
            <family val="2"/>
            <charset val="1"/>
          </rPr>
          <t xml:space="preserve">mit/ohne</t>
        </r>
        <r>
          <rPr>
            <sz val="9"/>
            <color rgb="FF000000"/>
            <rFont val="Tahoma"/>
            <family val="2"/>
            <charset val="1"/>
          </rPr>
          <t xml:space="preserve"> Tilgungsverlauf kommt es zu Rundungsdifferenzen in der Größenordnung von 0,0002%</t>
        </r>
      </text>
      <mc:AlternateContent>
        <mc:Choice Requires="v2">
          <commentPr autoFill="true" autoScale="false" colHidden="false" locked="false" rowHidden="false" textHAlign="justify" textVAlign="top">
            <anchor moveWithCells="false" sizeWithCells="false">
              <xdr:from>
                <xdr:col>16</xdr:col>
                <xdr:colOff>16</xdr:colOff>
                <xdr:row>12</xdr:row>
                <xdr:rowOff>13</xdr:rowOff>
              </xdr:from>
              <xdr:to>
                <xdr:col>20</xdr:col>
                <xdr:colOff>46</xdr:colOff>
                <xdr:row>19</xdr:row>
                <xdr:rowOff>3</xdr:rowOff>
              </xdr:to>
            </anchor>
          </commentPr>
        </mc:Choice>
        <mc:Fallback/>
      </mc:AlternateContent>
    </comment>
    <comment ref="Q17" authorId="0">
      <text>
        <r>
          <rPr>
            <sz val="10"/>
            <rFont val="Arial"/>
            <family val="2"/>
          </rPr>
          <t xml:space="preserve">WS-53:
Die Sonderzahlungen werden nach einer Neuberechnung in Eurobeträgen zu den gewünschten Zahlungsterminen erfasst.
Eingetragene Sonderzahlungen aus einer vorhergehenden Berechnung müssen manuell entfernt werden.
</t>
        </r>
        <r>
          <rPr>
            <sz val="9"/>
            <color rgb="FF000000"/>
            <rFont val="Segoe UI"/>
            <family val="2"/>
            <charset val="1"/>
          </rPr>
          <t xml:space="preserve">
</t>
        </r>
      </text>
      <mc:AlternateContent>
        <mc:Choice Requires="v2">
          <commentPr autoFill="true" autoScale="false" colHidden="false" locked="false" rowHidden="false" textHAlign="justify" textVAlign="top">
            <anchor moveWithCells="false" sizeWithCells="false">
              <xdr:from>
                <xdr:col>17</xdr:col>
                <xdr:colOff>12</xdr:colOff>
                <xdr:row>15</xdr:row>
                <xdr:rowOff>0</xdr:rowOff>
              </xdr:from>
              <xdr:to>
                <xdr:col>19</xdr:col>
                <xdr:colOff>85</xdr:colOff>
                <xdr:row>32</xdr:row>
                <xdr:rowOff>12</xdr:rowOff>
              </xdr:to>
            </anchor>
          </commentPr>
        </mc:Choice>
        <mc:Fallback/>
      </mc:AlternateContent>
    </comment>
  </commentList>
</comments>
</file>

<file path=xl/sharedStrings.xml><?xml version="1.0" encoding="utf-8"?>
<sst xmlns="http://schemas.openxmlformats.org/spreadsheetml/2006/main" count="247" uniqueCount="199">
  <si>
    <t xml:space="preserve">Tilgungsverlauf eines Darlehens</t>
  </si>
  <si>
    <t xml:space="preserve"> Kreditsumme</t>
  </si>
  <si>
    <t xml:space="preserve"> </t>
  </si>
  <si>
    <t xml:space="preserve"> Zinssatz</t>
  </si>
  <si>
    <t xml:space="preserve">     (Jahreszins in %)     /    eff. Zins =</t>
  </si>
  <si>
    <t xml:space="preserve">Tilgungsart </t>
  </si>
  <si>
    <t xml:space="preserve"> In Prozent</t>
  </si>
  <si>
    <t xml:space="preserve">     (jährliche Tilgungsrate in %)</t>
  </si>
  <si>
    <t xml:space="preserve">oder </t>
  </si>
  <si>
    <r>
      <rPr>
        <b val="true"/>
        <sz val="12"/>
        <color rgb="FF663300"/>
        <rFont val="Arial"/>
        <family val="2"/>
        <charset val="1"/>
      </rPr>
      <t xml:space="preserve"> Fester Betrag (</t>
    </r>
    <r>
      <rPr>
        <b val="true"/>
        <sz val="8"/>
        <color rgb="FF663300"/>
        <rFont val="Arial"/>
        <family val="2"/>
        <charset val="1"/>
      </rPr>
      <t xml:space="preserve">incl. Zinsen</t>
    </r>
    <r>
      <rPr>
        <b val="true"/>
        <sz val="12"/>
        <color rgb="FF663300"/>
        <rFont val="Arial"/>
        <family val="2"/>
        <charset val="1"/>
      </rPr>
      <t xml:space="preserve">)</t>
    </r>
  </si>
  <si>
    <t xml:space="preserve">     (gewünschter Betrag je Zahlungstermin)</t>
  </si>
  <si>
    <t xml:space="preserve"> Anzahl Raten</t>
  </si>
  <si>
    <t xml:space="preserve">     (Anzahl der gewünschten Raten)</t>
  </si>
  <si>
    <t xml:space="preserve"> Zahlungsweise</t>
  </si>
  <si>
    <t xml:space="preserve">M</t>
  </si>
  <si>
    <t xml:space="preserve">     (M=monatlich, Q=quartlisch, H=halbjährlich J=jährlich)</t>
  </si>
  <si>
    <t xml:space="preserve"> Zahlungsbeginn</t>
  </si>
  <si>
    <r>
      <rPr>
        <b val="true"/>
        <sz val="10"/>
        <rFont val="Arial"/>
        <family val="2"/>
        <charset val="1"/>
      </rPr>
      <t xml:space="preserve">ohne</t>
    </r>
    <r>
      <rPr>
        <sz val="10"/>
        <rFont val="Arial"/>
        <family val="2"/>
        <charset val="1"/>
      </rPr>
      <t xml:space="preserve"> Sondertilgung</t>
    </r>
  </si>
  <si>
    <t xml:space="preserve">Tilgungsverlauf anzeigen? </t>
  </si>
  <si>
    <t xml:space="preserve">J</t>
  </si>
  <si>
    <t xml:space="preserve"> Letzte Rate</t>
  </si>
  <si>
    <t xml:space="preserve">unter Berücksichtung der Sondertilgungen</t>
  </si>
  <si>
    <t xml:space="preserve">   Zeitverlauf</t>
  </si>
  <si>
    <t xml:space="preserve">Kredit</t>
  </si>
  <si>
    <t xml:space="preserve">Zinsen</t>
  </si>
  <si>
    <t xml:space="preserve">Tilgung</t>
  </si>
  <si>
    <t xml:space="preserve">Zahlung</t>
  </si>
  <si>
    <t xml:space="preserve">Ʃ  Zinsen</t>
  </si>
  <si>
    <t xml:space="preserve">Ʃ  Tilgung</t>
  </si>
  <si>
    <t xml:space="preserve">Ʃ  Zahlungen</t>
  </si>
  <si>
    <t xml:space="preserve">Sondertilgung</t>
  </si>
  <si>
    <t xml:space="preserve">Berechnung des effektiven Jahreszins nach der Uniform-Methode</t>
  </si>
  <si>
    <t xml:space="preserve">Die einfachste Art zur Berechnung des ungefähren effektiven Jahreszinses ist die Uniform-Methode:</t>
  </si>
  <si>
    <t xml:space="preserve">Kreditkosten = (gesamte Rückzahlung − Auszahlungsbetrag) oder (Anzahl der Raten × Ratenbetrag − Auszahlungsbetrag)</t>
  </si>
  <si>
    <t xml:space="preserve">dazu gehören:</t>
  </si>
  <si>
    <t xml:space="preserve">Bearbeitungsgebühr</t>
  </si>
  <si>
    <t xml:space="preserve">evtl. Restschuldversicherung bzw. Kreditlebensversicherung (sofern verpflichtend im Angebot enthalten [7])</t>
  </si>
  <si>
    <t xml:space="preserve">Nettodarlehensbetrag = Darlehensnennbetrag − Kreditkosten</t>
  </si>
  <si>
    <t xml:space="preserve">Anwendungsbereich</t>
  </si>
  <si>
    <t xml:space="preserve">Die Uniform-Methode ermöglicht bei bestimmten Darlehensarten eine Abschätzung des Effektivzinssatzes. Rechtlich gültig und von Finanzdienstleistern auszuweisen ist die komplizierter zu berechnende, aber genauere Effektivverzinsung nach PAngV. Die Uniform-Methode ist als überschlägige Berechnung anzusehen, mit der man insbesondere bei mit gleichen Monatsraten zu tilgenden Krediten schnell einen Eindruck von dem zu erwartenden tatsächlichen Effektivzins erhalten kann. Das Ergebnis kann von der PAngV-Effektivverzinsung abweichen.</t>
  </si>
  <si>
    <t xml:space="preserve">Beispiel</t>
  </si>
  <si>
    <t xml:space="preserve">Ein Verbraucherkredit über 10.000,00 EUR wird aufgenommen. Der Zinssatz beträgt 0,5 % pro Monat und bezieht sich während der gesamten Laufzeit auf die Ursprungssumme von 10.000,00 EUR, die Laufzeit liegt bei 60 Monaten. Zur Bereitstellung werden 3 % Bearbeitungsgebühr erhoben. Die Bearbeitungsgebühr wird bei Kreditaufnahme entrichtet, bereitgestellt werden die vollen 10.000,00 EUR.</t>
  </si>
  <si>
    <t xml:space="preserve">Anm.: Zinsen und Tilgung werden monatlich gezahlt, aber der Kreditbetrag gilt erst am Ende der Laufzeit als komplett getilgt, d. h. monatlich wird eine Rate von</t>
  </si>
  <si>
    <t xml:space="preserve">fällig.</t>
  </si>
  <si>
    <t xml:space="preserve">Der eff. Zinssatz (Jahreszinssatz) errechnet sich durch die Zinsung aller Einnahmen und Ausgaben auf einen Zinszeitpunkt mit dem Ergebnis „Null“. Dann entsprechen sich gezinst alle Einnahmen und Ausgaben.</t>
  </si>
  <si>
    <t xml:space="preserve">Unter Annahme der Auszahlung in Höhe von 10.000€ und der Gebühr in Höhe 300€ zum Auszahlungszeitpunkt sowie 60 Monatsraten in Höhe von 221,67€ beginnend mit dem Auszahlungszeitpunkt ergibt sich ein eff. Zinssatz von 14,5950 %. Sofern die Ratenzahlungen einen Monat später beginnen, ist der eff. Zinssatz 14,0221 %. Der jeweils zu ermittelnde gezinste Betrag wird wie folgt errechnet: Betrag x (1 + Zinssatz) ^ „Zeit in Jahren“, wobei „Zeit in Jahren“ ein Teilwert sein kann und auch ein negativer Wert.</t>
  </si>
  <si>
    <t xml:space="preserve">Berechnung des eff. Jahreszinssatzes bei Anleihen</t>
  </si>
  <si>
    <t xml:space="preserve">Den effektiven Jahreszinssatz bei endfälligen Anleihen, die über mehrere Jahre laufen und den Zins wieder mitverzinsen (Zinseszins), berechnet man mit Zinsfaktoren:</t>
  </si>
  <si>
    <t xml:space="preserve">Bsp.: Eine Anleihe läuft 3 Jahre und wird mit 1,5 % im ersten, 2 % im zweiten und 3 % im dritten Jahr verzinst.</t>
  </si>
  <si>
    <t xml:space="preserve">Bei Anleihen wird oft mit der Näherungsformel mit Auf- (Agio) und Abschlägen (Disagio) gerechnet:</t>
  </si>
  <si>
    <t xml:space="preserve">(Diese Formel weicht bei kleinen Werten für Laufzeit und Agio/Disagio kaum vom korrekten Ergebnis ab, versagt aber bei entsprechend großen Werten.)</t>
  </si>
  <si>
    <t xml:space="preserve">Allerdings handelt es sich bei dem Faktor</t>
  </si>
  <si>
    <t xml:space="preserve">lediglich um einen weiteren Zinsfaktor, mit dem dann eine präzisere Formel konstruiert werden kann:</t>
  </si>
  <si>
    <t xml:space="preserve">Berechnung des eff. Jahreszinssatzes bei Krediten mit festen monatlichen Raten</t>
  </si>
  <si>
    <t xml:space="preserve">Die folgende Berechnungsvorschrift wird für Kredite hergeleitet, für die weder einmalige Zuschläge (Bearbeitungsgebühren) noch Abschläge (Disagio) vereinbart sind.</t>
  </si>
  <si>
    <r>
      <rPr>
        <sz val="10"/>
        <rFont val="Arial"/>
        <family val="0"/>
        <charset val="1"/>
      </rPr>
      <t xml:space="preserve">Der von der Bank üblicherweise angegebene Zinssatz ist eigentlich überhaupt kein </t>
    </r>
    <r>
      <rPr>
        <i val="true"/>
        <sz val="10"/>
        <rFont val="Arial"/>
        <family val="2"/>
        <charset val="1"/>
      </rPr>
      <t xml:space="preserve">Jahres</t>
    </r>
    <r>
      <rPr>
        <sz val="10"/>
        <rFont val="Arial"/>
        <family val="2"/>
        <charset val="1"/>
      </rPr>
      <t xml:space="preserve">zinssatz, sondern das Zwölffache eines „effektiven </t>
    </r>
    <r>
      <rPr>
        <i val="true"/>
        <sz val="10"/>
        <rFont val="Arial"/>
        <family val="2"/>
        <charset val="1"/>
      </rPr>
      <t xml:space="preserve">Monats</t>
    </r>
    <r>
      <rPr>
        <sz val="10"/>
        <rFont val="Arial"/>
        <family val="2"/>
        <charset val="1"/>
      </rPr>
      <t xml:space="preserve">zinssatzes“. Nach jedem Monat – bzw. nach jedem Zwölftel des Jahres – wird folglich saldiert und neu gerechnet. Der Zinseszinseffekt tritt also bereits nach dem ersten Monat auf, und dies führt dazu, dass unter den für diesen Abschnitt genannten Bedingungen der effektive Jahreszinssatz immer höher ist als der von der Bank genannte Zinssatz.</t>
    </r>
  </si>
  <si>
    <t xml:space="preserve">Zur Herleitung der Berechnungsvorschrift stellen wir die Bildung der monatlichen bzw. jahresendlichen Kontobeträge für monatliche und jahresendliche Saldierung einander gegenüber. Folgende Größen spielen dabei eine Rolle:</t>
  </si>
  <si>
    <r>
      <rPr>
        <i val="true"/>
        <sz val="10"/>
        <rFont val="Arial"/>
        <family val="2"/>
        <charset val="1"/>
      </rPr>
      <t xml:space="preserve">G</t>
    </r>
    <r>
      <rPr>
        <i val="true"/>
        <vertAlign val="subscript"/>
        <sz val="10"/>
        <rFont val="Arial"/>
        <family val="2"/>
        <charset val="1"/>
      </rPr>
      <t xml:space="preserve">0</t>
    </r>
  </si>
  <si>
    <t xml:space="preserve">=</t>
  </si>
  <si>
    <t xml:space="preserve">Schuld zu Beginn des Jahres</t>
  </si>
  <si>
    <t xml:space="preserve">R</t>
  </si>
  <si>
    <t xml:space="preserve">monatliche Rate, die Zins und u.U. auch Tilgung enthält</t>
  </si>
  <si>
    <t xml:space="preserve">z</t>
  </si>
  <si>
    <t xml:space="preserve">Bankzinssatz</t>
  </si>
  <si>
    <r>
      <rPr>
        <i val="true"/>
        <sz val="10"/>
        <rFont val="Arial"/>
        <family val="2"/>
        <charset val="1"/>
      </rPr>
      <t xml:space="preserve">z</t>
    </r>
    <r>
      <rPr>
        <vertAlign val="subscript"/>
        <sz val="10"/>
        <rFont val="Arial"/>
        <family val="2"/>
        <charset val="1"/>
      </rPr>
      <t xml:space="preserve">eff</t>
    </r>
  </si>
  <si>
    <t xml:space="preserve">effektiver Jahreszinssatz</t>
  </si>
  <si>
    <r>
      <rPr>
        <sz val="10"/>
        <rFont val="Arial"/>
        <family val="0"/>
        <charset val="1"/>
      </rPr>
      <t xml:space="preserve">Für den von der Bank genannten Zinssatz gilt nach </t>
    </r>
    <r>
      <rPr>
        <i val="true"/>
        <sz val="10"/>
        <rFont val="Arial"/>
        <family val="2"/>
        <charset val="1"/>
      </rPr>
      <t xml:space="preserve">i</t>
    </r>
    <r>
      <rPr>
        <sz val="10"/>
        <rFont val="Arial"/>
        <family val="2"/>
        <charset val="1"/>
      </rPr>
      <t xml:space="preserve"> Monaten:</t>
    </r>
  </si>
  <si>
    <r>
      <rPr>
        <sz val="10"/>
        <rFont val="Arial"/>
        <family val="0"/>
        <charset val="1"/>
      </rPr>
      <t xml:space="preserve">Für den effektiven Jahreszinssatz gilt nach einem Jahr (in Gegenüberstellung zu obiger Formel für </t>
    </r>
    <r>
      <rPr>
        <i val="true"/>
        <sz val="10"/>
        <rFont val="Arial"/>
        <family val="2"/>
        <charset val="1"/>
      </rPr>
      <t xml:space="preserve">i</t>
    </r>
    <r>
      <rPr>
        <sz val="10"/>
        <rFont val="Arial"/>
        <family val="2"/>
        <charset val="1"/>
      </rPr>
      <t xml:space="preserve"> = 12):</t>
    </r>
  </si>
  <si>
    <r>
      <rPr>
        <sz val="10"/>
        <rFont val="Arial"/>
        <family val="0"/>
        <charset val="1"/>
      </rPr>
      <t xml:space="preserve">Der Subtrahend ergibt sich zum einen aus den Raten, die </t>
    </r>
    <r>
      <rPr>
        <i val="true"/>
        <sz val="10"/>
        <rFont val="Arial"/>
        <family val="2"/>
        <charset val="1"/>
      </rPr>
      <t xml:space="preserve">innerhalb</t>
    </r>
    <r>
      <rPr>
        <sz val="10"/>
        <rFont val="Arial"/>
        <family val="2"/>
        <charset val="1"/>
      </rPr>
      <t xml:space="preserve"> des Jahres keine Zinszahlungen enthalten - da ein effektiver Jahreszinssatz nur am Jahresende angewendet wird -, und aus der Verzinsung dieser vor dem Jahresende geleisteten Raten bis zum Ende des Jahres: Die erste liegt elf Monate an, die zweite zehn usw. und die letzte wird genau zum Jahresende geleistet und erzielt deshalb keine Verzinsung. Diese Verzinsung muss dem Tilgenden ebenfalls gutgeschrieben werden.</t>
    </r>
  </si>
  <si>
    <r>
      <rPr>
        <sz val="10"/>
        <rFont val="Arial"/>
        <family val="0"/>
        <charset val="1"/>
      </rPr>
      <t xml:space="preserve">Gleichsetzung beider Formeln für </t>
    </r>
    <r>
      <rPr>
        <i val="true"/>
        <sz val="10"/>
        <rFont val="Arial"/>
        <family val="2"/>
        <charset val="1"/>
      </rPr>
      <t xml:space="preserve">G</t>
    </r>
    <r>
      <rPr>
        <vertAlign val="subscript"/>
        <sz val="10"/>
        <rFont val="Arial"/>
        <family val="2"/>
        <charset val="1"/>
      </rPr>
      <t xml:space="preserve">12</t>
    </r>
    <r>
      <rPr>
        <sz val="10"/>
        <rFont val="Arial"/>
        <family val="2"/>
        <charset val="1"/>
      </rPr>
      <t xml:space="preserve"> und Austausch von </t>
    </r>
    <r>
      <rPr>
        <i val="true"/>
        <sz val="10"/>
        <rFont val="Arial"/>
        <family val="2"/>
        <charset val="1"/>
      </rPr>
      <t xml:space="preserve">R</t>
    </r>
    <r>
      <rPr>
        <sz val="10"/>
        <rFont val="Arial"/>
        <family val="2"/>
        <charset val="1"/>
      </rPr>
      <t xml:space="preserve"> durch </t>
    </r>
    <r>
      <rPr>
        <i val="true"/>
        <sz val="10"/>
        <rFont val="Arial"/>
        <family val="2"/>
        <charset val="1"/>
      </rPr>
      <t xml:space="preserve">x G</t>
    </r>
    <r>
      <rPr>
        <vertAlign val="subscript"/>
        <sz val="10"/>
        <rFont val="Arial"/>
        <family val="2"/>
        <charset val="1"/>
      </rPr>
      <t xml:space="preserve">0</t>
    </r>
    <r>
      <rPr>
        <sz val="10"/>
        <rFont val="Arial"/>
        <family val="2"/>
        <charset val="1"/>
      </rPr>
      <t xml:space="preserve"> liefert schließlich für </t>
    </r>
    <r>
      <rPr>
        <i val="true"/>
        <sz val="10"/>
        <rFont val="Arial"/>
        <family val="2"/>
        <charset val="1"/>
      </rPr>
      <t xml:space="preserve">z</t>
    </r>
    <r>
      <rPr>
        <vertAlign val="subscript"/>
        <sz val="10"/>
        <rFont val="Arial"/>
        <family val="2"/>
        <charset val="1"/>
      </rPr>
      <t xml:space="preserve">eff</t>
    </r>
    <r>
      <rPr>
        <sz val="10"/>
        <rFont val="Arial"/>
        <family val="2"/>
        <charset val="1"/>
      </rPr>
      <t xml:space="preserve"> folgende Formel:</t>
    </r>
  </si>
  <si>
    <r>
      <rPr>
        <sz val="10"/>
        <rFont val="Arial"/>
        <family val="0"/>
        <charset val="1"/>
      </rPr>
      <t xml:space="preserve">Die Berechnung des effektiven Jahreszinssatzes ist also nicht nur vom Bankzinssatz, sondern auch von der Geschwindigkeit der Tilgung abhängig, also vom Verhältnis zwischen </t>
    </r>
    <r>
      <rPr>
        <i val="true"/>
        <sz val="10"/>
        <rFont val="Arial"/>
        <family val="2"/>
        <charset val="1"/>
      </rPr>
      <t xml:space="preserve">R</t>
    </r>
    <r>
      <rPr>
        <sz val="10"/>
        <rFont val="Arial"/>
        <family val="2"/>
        <charset val="1"/>
      </rPr>
      <t xml:space="preserve"> und </t>
    </r>
    <r>
      <rPr>
        <i val="true"/>
        <sz val="10"/>
        <rFont val="Arial"/>
        <family val="2"/>
        <charset val="1"/>
      </rPr>
      <t xml:space="preserve">G</t>
    </r>
    <r>
      <rPr>
        <i val="true"/>
        <vertAlign val="subscript"/>
        <sz val="10"/>
        <rFont val="Arial"/>
        <family val="2"/>
        <charset val="1"/>
      </rPr>
      <t xml:space="preserve">0</t>
    </r>
    <r>
      <rPr>
        <sz val="10"/>
        <rFont val="Arial"/>
        <family val="2"/>
        <charset val="1"/>
      </rPr>
      <t xml:space="preserve">. Stark vereinfacht wird die Formel, wenn keine Tilgung erfolgt, sondern die Raten nur die fälligen Zinsen begleichen. Dann wird </t>
    </r>
    <r>
      <rPr>
        <i val="true"/>
        <sz val="10"/>
        <rFont val="Arial"/>
        <family val="2"/>
        <charset val="1"/>
      </rPr>
      <t xml:space="preserve">x</t>
    </r>
    <r>
      <rPr>
        <sz val="10"/>
        <rFont val="Arial"/>
        <family val="2"/>
        <charset val="1"/>
      </rPr>
      <t xml:space="preserve"> = </t>
    </r>
    <r>
      <rPr>
        <i val="true"/>
        <sz val="10"/>
        <rFont val="Arial"/>
        <family val="2"/>
        <charset val="1"/>
      </rPr>
      <t xml:space="preserve">z</t>
    </r>
    <r>
      <rPr>
        <sz val="10"/>
        <rFont val="Arial"/>
        <family val="2"/>
        <charset val="1"/>
      </rPr>
      <t xml:space="preserve"> / 12, und daraus folgt:</t>
    </r>
  </si>
  <si>
    <t xml:space="preserve">Diese Formel mag unglaubwürdig erscheinen, weil sie für z = 24 / 11 nicht definiert ist und für noch höhere Werte z sogar unsinnige negative Ergebnisse liefert. Man muss sich jedoch klarmachen, was es heißt, einen Bankzinssatz von 218 % präsentiert zu bekommen. Innerhalb von sechs Monaten wird über die monatlichen Beträge eine größere Summe gezahlt, als die Schuldsumme vom Jahresanfang ausmacht. Nach der Vorgehensweise des effektiven Jahreszinssatzes bedeutet dies, dass der Schuldner, der ja während des Jahres keine Zinsen zahlt, sondern nur tilgt, ab dem sechsten Monat ein Guthaben bei der Bank bildet. Dieses Guthaben muss die Bank natürlich ebenso verzinsen wie zuvor die Schuld – nur mit umgekehrtem Vorzeichen. Beide Zinsen werden gegeneinander aufgerechnet und müssen ohne jegliche Tilgung den Wert null ergeben. Das kann aber nicht funktionieren, wenn die Schuldsumme vom Jahresanfang bereits vor der Jahreshälfte getilgt worden ist. Folglich müssen die Zinsen auf die im Laufe statt am Ende des Jahres gezahlten Raten den Ausschlag geben. Und dazu müssen sie eben sehr hoch sein - im Extremfall unendlich.</t>
  </si>
  <si>
    <t xml:space="preserve">Für Zinssätze in normalen Größenordnungen liefert die Formel jedoch nicht nur (ebenfalls) korrekte, sondern zudem einleuchtende Ergebnisse. Wird eine Schuldsumme von 100 Euro innerhalb eines Jahres getilgt, wobei ein Bankzinssatz von 10 % angesetzt wird, so ergibt sich der effektive Jahreszinssatz zu 10,65 %. Soll die Schuld bei gleichem Bankzinssatz nur gehalten werden, so beläuft sich der effektive Jahreszinssatz auf 10,48 %</t>
  </si>
  <si>
    <t xml:space="preserve">Effektivzins bei Baukrediten</t>
  </si>
  <si>
    <t xml:space="preserve">Am 11. Juni 2010 ist eine neue Verbraucherkreditrichtlinie in Kraft getreten. Im Rahmen dieser Umsetzung gelten neue Regelungen für die Berechnung des effektiven Jahreszinses bei Immobiliendarlehen: Sieht ein Vertrag vor, dass der Kredit mit variablen Zinsen weiterläuft, wenn sich Schuldner und Gläubiger bis zum Ende der Zinsbindung nicht auf eine neue Zinsfestschreibung einigen, so fordert die Preisangabenverordnung, dass die Bank für die Restlaufzeit ihren aktuellen Zinssatz für variabel verzinsliche Darlehen zugrunde legt. Dieser liegt im Allgemeinen unter dem Zinssatz während der Zinsbindungszeit. Damit ergibt sich oftmals ein Effektivzins unterhalb des Sollzinses.</t>
  </si>
  <si>
    <t xml:space="preserve">Effektivzinssatz bei Disagio</t>
  </si>
  <si>
    <t xml:space="preserve">Bei Disagio handelt es sich um einen Abschlag auf den Nennwert bzw. um einen vorab geleisteten Zins für die Dauer der Zinsbindung, was sich in einer niedrigeren Auszahlung der Darlehenssumme ausdrückt. Die Berechnung des Effektivzinssatzes erfolgt mittels des Nominalzinssatzes (und der anderen Parameter wie Laufzeit, Tilgung). Umgekehrt kann ausgehend von einem Effektivzinssatz der dazugehörige Nominalzinssatz ermittelt werden.</t>
  </si>
  <si>
    <t xml:space="preserve">Der Effektivzinssatz im Falle von Disagio fungiert als eine Maßzahl, die eine auf niedrigerer Auszahlung basierende und folglich mit einem differierenden Nominalzinssatz angebotene Variante eines Darlehens mit der Variante der vollen Auszahlung vergleichbar macht. Im Grunde genommen handelt es sich bei jeder der zwei Varianten um eine andere Verpackung des gleichen Produktes, so dass man eine Äquivalenz der beiden Varianten fordert und die mathematische Modellierung zur Berechnung des Effektivzinssatzes im Sinne dieser Äquivalenz durchführt.</t>
  </si>
  <si>
    <t xml:space="preserve">Es gibt verschiedene Ansätze zur Ermittlung des Effektivzinssatzes, die aus unterschiedlichen Interpretationen des Disagio Begriffs herrühren und folglich nicht notwendig zum gleichen Ergebnis führen. Ein Ansatz geht davon aus, dass die jeweils zum Nominal- bzw. Effektivzinssatz berechneten Zinsbeträge während der Darlehensdauer gleich sein müssen. (Disagio als vorab geleisteter Zins, s. unten Ratenkredite). Ein anderer, gemäß PAngV verwendeter Ansatz verlangt, dass die beim Nominalzinssatz relevanten Zahlungsströme (Annuität, Restschuld) der Endwertberechnung zum Effetivzinssatz entsprechen müssen (s. unten Annuitätendarlehen).</t>
  </si>
  <si>
    <t xml:space="preserve">Der Effektivzinssatz bei Disagio wird höher ausfallen als der Nominalzinssatz, da anschaulich gesprochen die Raten-/Annuitätenzahlungen auf der Basis der niedrigeren Auszahlung kleiner ausfallen und somit zum Ausgleich einem höheren Zinssatz entsprechen müssen</t>
  </si>
  <si>
    <t xml:space="preserve">Einfachheitshalber legt man zugrunde ein Darlehen von 1 Geldeinheit mit einer Laufzeit von</t>
  </si>
  <si>
    <t xml:space="preserve">Zinsperioden (etwa Jahren), das zu einem Nominalzinssatz von</t>
  </si>
  <si>
    <t xml:space="preserve">aufgenommen wird. Dabei betrage der Disagiosatz</t>
  </si>
  <si>
    <t xml:space="preserve">. Z. B. soll</t>
  </si>
  <si>
    <t xml:space="preserve">bedeuten, dass 90% des Kapitals ausgezahlt wird. Ein Disagiosatz von 0 bedeutet kein Disagio, während ein Disagiosatz von 1 bedeutet, dass keine Auszahlung erfolgt. Da der letzte Fall keinen praktischen Sinn ergibt, wird der Disagiosatz zwischen einschließlich 0 und ausschließlich 1 liegen.</t>
  </si>
  <si>
    <t xml:space="preserve">Weiter unten sind beispielhaft einige Darlehenstypen mit der dazugehörigen Effektivzinssatzberechnung dargestellt.</t>
  </si>
  <si>
    <t xml:space="preserve">Ratenkredit</t>
  </si>
  <si>
    <t xml:space="preserve">Tilgung bei Endfälligkeit</t>
  </si>
  <si>
    <t xml:space="preserve">Bei diesem Tilgungsdarlehen werden während der Laufzeit nur die Zinsen gezahlt. Die Tilgung erfolgt erst am Ende der Laufzeit.</t>
  </si>
  <si>
    <t xml:space="preserve">Es muss gelten:</t>
  </si>
  <si>
    <t xml:space="preserve">.</t>
  </si>
  <si>
    <t xml:space="preserve">Daraus folgt für den Effektivzinssatz:</t>
  </si>
  <si>
    <t xml:space="preserve">Beispiel 1</t>
  </si>
  <si>
    <t xml:space="preserve">Ein Disagiosatz von</t>
  </si>
  <si>
    <t xml:space="preserve">und ein Nominalzinssatz von</t>
  </si>
  <si>
    <t xml:space="preserve">für die Dauer von</t>
  </si>
  <si>
    <t xml:space="preserve">Perioden ergibt einen Effektivzinssatz von</t>
  </si>
  <si>
    <t xml:space="preserve">, also 11,58%.</t>
  </si>
  <si>
    <t xml:space="preserve">Tilgung in periodisch gleichen Raten</t>
  </si>
  <si>
    <t xml:space="preserve">Das Restdarlehen in der</t>
  </si>
  <si>
    <t xml:space="preserve">- ten Periode ist</t>
  </si>
  <si>
    <t xml:space="preserve">und die Summe der Zinsen</t>
  </si>
  <si>
    <t xml:space="preserve">in beiden Fällen ist:</t>
  </si>
  <si>
    <t xml:space="preserve">bzw.</t>
  </si>
  <si>
    <t xml:space="preserve">Daraus folgt für den Effektivzinssatz</t>
  </si>
  <si>
    <t xml:space="preserve">Der Ausdruck</t>
  </si>
  <si>
    <t xml:space="preserve">kann als die mittlere Laufzeit angesehen werden.</t>
  </si>
  <si>
    <t xml:space="preserve">Die Variante des endfälligen Darlehens ist hierzu ein Sonderfall, nämlich wenn die Anzahl der Raten gleich 1, also</t>
  </si>
  <si>
    <t xml:space="preserve">ist.</t>
  </si>
  <si>
    <t xml:space="preserve">Beispiel 2</t>
  </si>
  <si>
    <t xml:space="preserve">, also 12,28%.</t>
  </si>
  <si>
    <t xml:space="preserve">Tilgung nach k tilgungsfreien Perioden in periodisch gleichen Raten</t>
  </si>
  <si>
    <t xml:space="preserve">Dies ist eine Variante aus der Kombination der beiden vorangehenden. Dabei werden</t>
  </si>
  <si>
    <t xml:space="preserve">tilgungsfreie Perioden angenommen. Die Summe der Zinsen in beiden Fällen ist:</t>
  </si>
  <si>
    <t xml:space="preserve">Aus der Bedingung</t>
  </si>
  <si>
    <t xml:space="preserve">folgt für den Effektivzinssatz:</t>
  </si>
  <si>
    <t xml:space="preserve">Man sieht, dass diese Variante für</t>
  </si>
  <si>
    <r>
      <rPr>
        <sz val="10"/>
        <rFont val="Arial"/>
        <family val="0"/>
        <charset val="1"/>
      </rPr>
      <t xml:space="preserve">identisch mit dem Fall der </t>
    </r>
    <r>
      <rPr>
        <i val="true"/>
        <sz val="10"/>
        <rFont val="Arial"/>
        <family val="2"/>
        <charset val="1"/>
      </rPr>
      <t xml:space="preserve">Tilgung in periodisch gleichen Raten</t>
    </r>
    <r>
      <rPr>
        <sz val="10"/>
        <rFont val="Arial"/>
        <family val="2"/>
        <charset val="1"/>
      </rPr>
      <t xml:space="preserve"> ist.</t>
    </r>
  </si>
  <si>
    <t xml:space="preserve">Beispiel 3</t>
  </si>
  <si>
    <t xml:space="preserve">Perioden mit 2 tilgungsfreien Perioden ergibt einen Effektivzinssatz von</t>
  </si>
  <si>
    <t xml:space="preserve">, also 11,84%.</t>
  </si>
  <si>
    <t xml:space="preserve">Annuitätendarlehen</t>
  </si>
  <si>
    <t xml:space="preserve">Im Gegensatz zu den oben diskutierten Tilgungsdarlehen ist ein Annuitätendarlehen eins, bei dem während der vereinbarten Zinsbindungsdauer periodisch eine aus Zins und Tilgung</t>
  </si>
  <si>
    <t xml:space="preserve">zusammengesetzte konstante Rate gezahlt wird. Die Zinsbindungsdauer</t>
  </si>
  <si>
    <t xml:space="preserve">kann sich von der Tilgungsdauer</t>
  </si>
  <si>
    <t xml:space="preserve">, die benötigt wird um das Darlehen zu den vereinbarten Konditionen vollständig zu tilgen, unterscheiden.</t>
  </si>
  <si>
    <t xml:space="preserve">Der Ansatz bei der Ermittlung von Effektivzinssatz besteht darin, die beim Nominalzinssatz anfallenden Zahlungsströme mit dem Effektivzinssatz zu gewichten, der zur Lösung der Äquivalenzgleichung führt.</t>
  </si>
  <si>
    <t xml:space="preserve">Äquivalenzgleichung</t>
  </si>
  <si>
    <t xml:space="preserve">Zuerst wird die Restschuld</t>
  </si>
  <si>
    <t xml:space="preserve">am Ende der Zinsbindungsdauer ermittelt. Es gilt:</t>
  </si>
  <si>
    <t xml:space="preserve">Die einzelnen Zahlungsströme sind die in der jeweiligen Periode entsprechend gewichteten Annuitäten</t>
  </si>
  <si>
    <t xml:space="preserve">Die Äquivalenzgleichung lautet dann:</t>
  </si>
  <si>
    <t xml:space="preserve">oder umformuliert:</t>
  </si>
  <si>
    <t xml:space="preserve">Der Effektivzinssatz ist dann der Zinssatz bei dem die Summe der aufgezinsten Annuitäten gleich dem Endwert der Auszahlung minus Restschuld ist.</t>
  </si>
  <si>
    <t xml:space="preserve">Beispiel 4</t>
  </si>
  <si>
    <t xml:space="preserve">, also 11,37%.</t>
  </si>
  <si>
    <t xml:space="preserve">Existenz und Eindeutigkeit</t>
  </si>
  <si>
    <t xml:space="preserve">Die Fixpunktgleichung kann nicht immer direkt lösbar sein, so dass insbesondere für größere</t>
  </si>
  <si>
    <t xml:space="preserve">Iterative Verfahren nötig sind um die Lösung zu approximieren. Ein mögliches Approximationsverfahren ist die Fixpunktiteration mittels der Iterationsfunkton</t>
  </si>
  <si>
    <t xml:space="preserve">Bei der Anwendung dieses Verfahrens geht man so vor, dass man ein Intervall findet, das von der Iterationsfunktion in sich abgebildet wird und den Voraussetzungen z. B. folgenden Satzes (s. Satz zur Existenz und Eindeutigkeit in Fixpunktiteration) genügt.</t>
  </si>
  <si>
    <t xml:space="preserve">Im Folgenden wird paradigmatisch eine Vorgehensweise dargestellt, die die Bedingungen zur Existenz einer eindeutigen Lösung untersucht. Dabei wird von</t>
  </si>
  <si>
    <t xml:space="preserve">ausgegangen.</t>
  </si>
  <si>
    <t xml:space="preserve">1. Falls</t>
  </si>
  <si>
    <t xml:space="preserve">. dann ist</t>
  </si>
  <si>
    <t xml:space="preserve">2. Falls</t>
  </si>
  <si>
    <t xml:space="preserve">dann gilt</t>
  </si>
  <si>
    <t xml:space="preserve">1. für alle</t>
  </si>
  <si>
    <t xml:space="preserve">2. ist monoton steigend für alle</t>
  </si>
  <si>
    <t xml:space="preserve">3. für alle</t>
  </si>
  <si>
    <t xml:space="preserve">(vollständige Induktion über</t>
  </si>
  <si>
    <t xml:space="preserve">mit</t>
  </si>
  <si>
    <t xml:space="preserve">und 2.2).</t>
  </si>
  <si>
    <t xml:space="preserve">4. für alle</t>
  </si>
  <si>
    <t xml:space="preserve">(wegen 2.1.).</t>
  </si>
  <si>
    <t xml:space="preserve">5. bildet das Intervall</t>
  </si>
  <si>
    <t xml:space="preserve">in sich ab (wegen 2.3 und 2.4).</t>
  </si>
  <si>
    <t xml:space="preserve">3. Falls</t>
  </si>
  <si>
    <t xml:space="preserve">, dann gilt</t>
  </si>
  <si>
    <t xml:space="preserve">2. ist monoton fallend für alle</t>
  </si>
  <si>
    <t xml:space="preserve">und für</t>
  </si>
  <si>
    <t xml:space="preserve">(wegen 3.1).</t>
  </si>
  <si>
    <t xml:space="preserve">und</t>
  </si>
  <si>
    <t xml:space="preserve">(wegen 3.2).</t>
  </si>
  <si>
    <t xml:space="preserve">in sich ab (wegen 3.3 und 3.4).</t>
  </si>
  <si>
    <t xml:space="preserve">Aus den Punkten 2.5, 3.5 und 4. folgt, dass die Fixpunktiteration in den Intervallen</t>
  </si>
  <si>
    <t xml:space="preserve">einen eindeutiger Fixpunkt besitzt, also</t>
  </si>
  <si>
    <t xml:space="preserve">dort existiert (s. Satz zur Existenz und Eindeutigkeit in Fixpunktiteration).</t>
  </si>
  <si>
    <t xml:space="preserve">Fehlermeldungen</t>
  </si>
  <si>
    <t xml:space="preserve">N</t>
  </si>
  <si>
    <t xml:space="preserve">Q</t>
  </si>
  <si>
    <t xml:space="preserve">Nr.</t>
  </si>
  <si>
    <t xml:space="preserve">Text</t>
  </si>
  <si>
    <t xml:space="preserve"> = Divisor für Zinssatz</t>
  </si>
  <si>
    <t xml:space="preserve">H</t>
  </si>
  <si>
    <t xml:space="preserve">  F01  </t>
  </si>
  <si>
    <t xml:space="preserve">Tilgungsvariante fehlt</t>
  </si>
  <si>
    <t xml:space="preserve"> = Anzahl Zahlungsperioden</t>
  </si>
  <si>
    <t xml:space="preserve">  F 02  </t>
  </si>
  <si>
    <t xml:space="preserve">Zahlungsperiode fehlt !!!</t>
  </si>
  <si>
    <t xml:space="preserve"> = Additionswert für Anzahl Monate</t>
  </si>
  <si>
    <t xml:space="preserve">Zins</t>
  </si>
  <si>
    <t xml:space="preserve">  F 03  </t>
  </si>
  <si>
    <t xml:space="preserve">Kreditbetrag eintragen !!!</t>
  </si>
  <si>
    <t xml:space="preserve"> = Anz.Zahlungen aufgerundet</t>
  </si>
  <si>
    <t xml:space="preserve">  F 04  </t>
  </si>
  <si>
    <t xml:space="preserve">fehler 4</t>
  </si>
  <si>
    <t xml:space="preserve">Kreditsumme</t>
  </si>
  <si>
    <t xml:space="preserve">  F 05  </t>
  </si>
  <si>
    <t xml:space="preserve">Fehler 5</t>
  </si>
  <si>
    <t xml:space="preserve">Zinssatz</t>
  </si>
  <si>
    <t xml:space="preserve">Anzahl Raten</t>
  </si>
  <si>
    <t xml:space="preserve">Zinssatz Tilgung</t>
  </si>
  <si>
    <t xml:space="preserve">Zinstermin</t>
  </si>
  <si>
    <t xml:space="preserve">Zahlbetrag je Periode</t>
  </si>
  <si>
    <t xml:space="preserve">Zahlungsbeginn</t>
  </si>
  <si>
    <t xml:space="preserve">Letzte Zahlung</t>
  </si>
  <si>
    <t xml:space="preserve">Gesamtsumme</t>
  </si>
  <si>
    <t xml:space="preserve">Ges. aus Tilgungsverlauf:</t>
  </si>
  <si>
    <t xml:space="preserve">eff. Zins</t>
  </si>
</sst>
</file>

<file path=xl/styles.xml><?xml version="1.0" encoding="utf-8"?>
<styleSheet xmlns="http://schemas.openxmlformats.org/spreadsheetml/2006/main">
  <numFmts count="11">
    <numFmt numFmtId="164" formatCode="General"/>
    <numFmt numFmtId="165" formatCode="#"/>
    <numFmt numFmtId="166" formatCode="#,##0"/>
    <numFmt numFmtId="167" formatCode="_-* #,##0.00\ _€_-;\-* #,##0.00\ _€_-;_-* \-??\ _€_-;_-@_-"/>
    <numFmt numFmtId="168" formatCode="_-* #,##0\ _€_-;\-* #,##0\ _€_-;_-* \-??\ _€_-;_-@_-"/>
    <numFmt numFmtId="169" formatCode="0.00"/>
    <numFmt numFmtId="170" formatCode="#,##0.00&quot; DM&quot;;[RED]\-#,##0.00&quot; DM&quot;"/>
    <numFmt numFmtId="171" formatCode="m/d/yyyy"/>
    <numFmt numFmtId="172" formatCode="#,##0.00"/>
    <numFmt numFmtId="173" formatCode="0.00000000000"/>
    <numFmt numFmtId="174" formatCode="0"/>
  </numFmts>
  <fonts count="28">
    <font>
      <sz val="10"/>
      <name val="Arial"/>
      <family val="0"/>
      <charset val="1"/>
    </font>
    <font>
      <sz val="10"/>
      <name val="Arial"/>
      <family val="0"/>
    </font>
    <font>
      <sz val="10"/>
      <name val="Arial"/>
      <family val="0"/>
    </font>
    <font>
      <sz val="10"/>
      <name val="Arial"/>
      <family val="0"/>
    </font>
    <font>
      <sz val="8"/>
      <name val="Arial"/>
      <family val="2"/>
      <charset val="1"/>
    </font>
    <font>
      <sz val="18"/>
      <name val="PT Taj Mahal"/>
      <family val="0"/>
      <charset val="1"/>
    </font>
    <font>
      <sz val="16"/>
      <name val="PT Taj Mahal"/>
      <family val="0"/>
      <charset val="1"/>
    </font>
    <font>
      <b val="true"/>
      <sz val="12"/>
      <color rgb="FF663300"/>
      <name val="Arial"/>
      <family val="2"/>
      <charset val="1"/>
    </font>
    <font>
      <sz val="12"/>
      <color rgb="FFFF00FF"/>
      <name val="Arial"/>
      <family val="2"/>
      <charset val="1"/>
    </font>
    <font>
      <sz val="10"/>
      <name val="Arial"/>
      <family val="2"/>
      <charset val="1"/>
    </font>
    <font>
      <b val="true"/>
      <sz val="10"/>
      <name val="Arial"/>
      <family val="2"/>
      <charset val="1"/>
    </font>
    <font>
      <b val="true"/>
      <sz val="10"/>
      <color rgb="FF663300"/>
      <name val="Arial"/>
      <family val="2"/>
      <charset val="1"/>
    </font>
    <font>
      <b val="true"/>
      <sz val="8"/>
      <color rgb="FF663300"/>
      <name val="Arial"/>
      <family val="2"/>
      <charset val="1"/>
    </font>
    <font>
      <sz val="11"/>
      <name val="Arial"/>
      <family val="2"/>
      <charset val="1"/>
    </font>
    <font>
      <sz val="10"/>
      <color theme="7" tint="0.5999"/>
      <name val="Arial"/>
      <family val="2"/>
      <charset val="1"/>
    </font>
    <font>
      <b val="true"/>
      <sz val="8"/>
      <name val="Arial"/>
      <family val="2"/>
      <charset val="1"/>
    </font>
    <font>
      <sz val="10"/>
      <name val="Arial"/>
      <family val="2"/>
    </font>
    <font>
      <sz val="9"/>
      <color rgb="FF000000"/>
      <name val="Tahoma"/>
      <family val="2"/>
      <charset val="1"/>
    </font>
    <font>
      <b val="true"/>
      <sz val="9"/>
      <color rgb="FF000000"/>
      <name val="Tahoma"/>
      <family val="2"/>
      <charset val="1"/>
    </font>
    <font>
      <sz val="9"/>
      <color rgb="FF000000"/>
      <name val="Segoe UI"/>
      <family val="2"/>
      <charset val="1"/>
    </font>
    <font>
      <b val="true"/>
      <sz val="18"/>
      <name val="Arial"/>
      <family val="2"/>
      <charset val="1"/>
    </font>
    <font>
      <u val="single"/>
      <sz val="10"/>
      <color theme="10"/>
      <name val="Arial"/>
      <family val="2"/>
      <charset val="1"/>
    </font>
    <font>
      <b val="true"/>
      <sz val="13.5"/>
      <name val="Arial"/>
      <family val="2"/>
      <charset val="1"/>
    </font>
    <font>
      <i val="true"/>
      <sz val="10"/>
      <name val="Arial"/>
      <family val="2"/>
      <charset val="1"/>
    </font>
    <font>
      <i val="true"/>
      <vertAlign val="subscript"/>
      <sz val="10"/>
      <name val="Arial"/>
      <family val="2"/>
      <charset val="1"/>
    </font>
    <font>
      <vertAlign val="subscript"/>
      <sz val="10"/>
      <name val="Arial"/>
      <family val="2"/>
      <charset val="1"/>
    </font>
    <font>
      <b val="true"/>
      <sz val="12"/>
      <name val="Arial"/>
      <family val="2"/>
      <charset val="1"/>
    </font>
    <font>
      <sz val="11"/>
      <name val="Calibri"/>
      <family val="2"/>
      <charset val="1"/>
    </font>
  </fonts>
  <fills count="12">
    <fill>
      <patternFill patternType="none"/>
    </fill>
    <fill>
      <patternFill patternType="gray125"/>
    </fill>
    <fill>
      <patternFill patternType="solid">
        <fgColor theme="2" tint="-0.5"/>
        <bgColor rgb="FF77933C"/>
      </patternFill>
    </fill>
    <fill>
      <patternFill patternType="solid">
        <fgColor theme="2" tint="-0.25"/>
        <bgColor rgb="FFBFBFBF"/>
      </patternFill>
    </fill>
    <fill>
      <patternFill patternType="solid">
        <fgColor rgb="FFA6CAF0"/>
        <bgColor rgb="FFC0C0FF"/>
      </patternFill>
    </fill>
    <fill>
      <patternFill patternType="solid">
        <fgColor rgb="FFCC9CCC"/>
        <bgColor rgb="FFD99694"/>
      </patternFill>
    </fill>
    <fill>
      <patternFill patternType="solid">
        <fgColor rgb="FFC0C0FF"/>
        <bgColor rgb="FFCCC1DA"/>
      </patternFill>
    </fill>
    <fill>
      <patternFill patternType="solid">
        <fgColor theme="5" tint="0.3999"/>
        <bgColor rgb="FFCC9CCC"/>
      </patternFill>
    </fill>
    <fill>
      <patternFill patternType="solid">
        <fgColor theme="2" tint="-0.75"/>
        <bgColor rgb="FF595959"/>
      </patternFill>
    </fill>
    <fill>
      <patternFill patternType="solid">
        <fgColor rgb="FFC0C0C0"/>
        <bgColor rgb="FFBFBFBF"/>
      </patternFill>
    </fill>
    <fill>
      <patternFill patternType="solid">
        <fgColor rgb="FFCCFFCC"/>
        <bgColor rgb="FFCCFFFF"/>
      </patternFill>
    </fill>
    <fill>
      <patternFill patternType="solid">
        <fgColor rgb="FFFF8080"/>
        <bgColor rgb="FFD99694"/>
      </patternFill>
    </fill>
  </fills>
  <borders count="33">
    <border diagonalUp="false" diagonalDown="false">
      <left/>
      <right/>
      <top/>
      <bottom/>
      <diagonal/>
    </border>
    <border diagonalUp="false" diagonalDown="false">
      <left style="thick">
        <color theme="2" tint="-0.5"/>
      </left>
      <right/>
      <top style="thick">
        <color theme="2" tint="-0.5"/>
      </top>
      <bottom/>
      <diagonal/>
    </border>
    <border diagonalUp="false" diagonalDown="false">
      <left/>
      <right/>
      <top style="thick">
        <color theme="2" tint="-0.5"/>
      </top>
      <bottom/>
      <diagonal/>
    </border>
    <border diagonalUp="false" diagonalDown="false">
      <left/>
      <right style="thick">
        <color theme="2" tint="-0.5"/>
      </right>
      <top style="thick">
        <color theme="2" tint="-0.5"/>
      </top>
      <bottom/>
      <diagonal/>
    </border>
    <border diagonalUp="false" diagonalDown="false">
      <left style="thick">
        <color theme="2" tint="-0.5"/>
      </left>
      <right/>
      <top/>
      <bottom/>
      <diagonal/>
    </border>
    <border diagonalUp="false" diagonalDown="false">
      <left/>
      <right style="thick">
        <color theme="2" tint="-0.5"/>
      </right>
      <top/>
      <bottom/>
      <diagonal/>
    </border>
    <border diagonalUp="false" diagonalDown="false">
      <left style="thick">
        <color theme="2" tint="-0.5"/>
      </left>
      <right/>
      <top style="medium">
        <color theme="2" tint="-0.5"/>
      </top>
      <bottom/>
      <diagonal/>
    </border>
    <border diagonalUp="false" diagonalDown="false">
      <left/>
      <right/>
      <top style="medium">
        <color theme="2" tint="-0.5"/>
      </top>
      <bottom/>
      <diagonal/>
    </border>
    <border diagonalUp="false" diagonalDown="false">
      <left/>
      <right style="thick">
        <color theme="2" tint="-0.5"/>
      </right>
      <top style="medium">
        <color theme="2" tint="-0.5"/>
      </top>
      <bottom/>
      <diagonal/>
    </border>
    <border diagonalUp="false" diagonalDown="false">
      <left style="thick">
        <color theme="2" tint="-0.5"/>
      </left>
      <right/>
      <top/>
      <bottom style="medium">
        <color theme="2" tint="-0.5"/>
      </bottom>
      <diagonal/>
    </border>
    <border diagonalUp="false" diagonalDown="false">
      <left/>
      <right/>
      <top/>
      <bottom style="medium">
        <color theme="2" tint="-0.5"/>
      </bottom>
      <diagonal/>
    </border>
    <border diagonalUp="false" diagonalDown="false">
      <left/>
      <right style="thick">
        <color theme="2" tint="-0.5"/>
      </right>
      <top/>
      <bottom style="medium">
        <color theme="2" tint="-0.5"/>
      </bottom>
      <diagonal/>
    </border>
    <border diagonalUp="false" diagonalDown="false">
      <left style="thick">
        <color theme="2" tint="-0.5"/>
      </left>
      <right/>
      <top/>
      <bottom style="medium">
        <color theme="0" tint="-0.5"/>
      </bottom>
      <diagonal/>
    </border>
    <border diagonalUp="false" diagonalDown="false">
      <left/>
      <right/>
      <top/>
      <bottom style="medium">
        <color theme="0" tint="-0.5"/>
      </bottom>
      <diagonal/>
    </border>
    <border diagonalUp="false" diagonalDown="false">
      <left/>
      <right style="thick">
        <color theme="2" tint="-0.5"/>
      </right>
      <top/>
      <bottom style="medium">
        <color theme="0" tint="-0.5"/>
      </bottom>
      <diagonal/>
    </border>
    <border diagonalUp="false" diagonalDown="false">
      <left style="thick">
        <color theme="2" tint="-0.5"/>
      </left>
      <right/>
      <top style="medium">
        <color theme="0" tint="-0.5"/>
      </top>
      <bottom/>
      <diagonal/>
    </border>
    <border diagonalUp="false" diagonalDown="false">
      <left/>
      <right/>
      <top style="medium">
        <color theme="0" tint="-0.5"/>
      </top>
      <bottom/>
      <diagonal/>
    </border>
    <border diagonalUp="false" diagonalDown="false">
      <left/>
      <right style="thick">
        <color theme="2" tint="-0.5"/>
      </right>
      <top style="medium">
        <color theme="0" tint="-0.5"/>
      </top>
      <bottom/>
      <diagonal/>
    </border>
    <border diagonalUp="false" diagonalDown="false">
      <left style="thin"/>
      <right style="thin"/>
      <top style="thin"/>
      <bottom style="thin"/>
      <diagonal/>
    </border>
    <border diagonalUp="false" diagonalDown="false">
      <left style="thick">
        <color theme="2" tint="-0.5"/>
      </left>
      <right/>
      <top/>
      <bottom style="thick">
        <color theme="2" tint="-0.5"/>
      </bottom>
      <diagonal/>
    </border>
    <border diagonalUp="false" diagonalDown="false">
      <left/>
      <right/>
      <top/>
      <bottom style="thick">
        <color theme="2" tint="-0.5"/>
      </bottom>
      <diagonal/>
    </border>
    <border diagonalUp="false" diagonalDown="false">
      <left/>
      <right style="thick">
        <color theme="2" tint="-0.5"/>
      </right>
      <top/>
      <bottom style="thick">
        <color theme="2" tint="-0.5"/>
      </bottom>
      <diagonal/>
    </border>
    <border diagonalUp="false" diagonalDown="false">
      <left style="medium">
        <color theme="2" tint="-0.5"/>
      </left>
      <right/>
      <top style="medium">
        <color theme="2" tint="-0.5"/>
      </top>
      <bottom/>
      <diagonal/>
    </border>
    <border diagonalUp="false" diagonalDown="false">
      <left/>
      <right style="medium">
        <color theme="2" tint="-0.5"/>
      </right>
      <top style="medium">
        <color theme="2" tint="-0.5"/>
      </top>
      <bottom/>
      <diagonal/>
    </border>
    <border diagonalUp="false" diagonalDown="false">
      <left style="medium">
        <color theme="2" tint="-0.5"/>
      </left>
      <right/>
      <top/>
      <bottom/>
      <diagonal/>
    </border>
    <border diagonalUp="false" diagonalDown="false">
      <left/>
      <right style="medium">
        <color theme="2" tint="-0.5"/>
      </right>
      <top/>
      <bottom/>
      <diagonal/>
    </border>
    <border diagonalUp="false" diagonalDown="false">
      <left/>
      <right/>
      <top style="medium">
        <color theme="1" tint="0.3499"/>
      </top>
      <bottom style="thick">
        <color theme="1" tint="0.3499"/>
      </bottom>
      <diagonal/>
    </border>
    <border diagonalUp="false" diagonalDown="false">
      <left style="thin">
        <color theme="0" tint="-0.5"/>
      </left>
      <right style="thin">
        <color theme="0" tint="-0.5"/>
      </right>
      <top style="medium">
        <color theme="1" tint="0.3499"/>
      </top>
      <bottom style="thick">
        <color theme="1" tint="0.3499"/>
      </bottom>
      <diagonal/>
    </border>
    <border diagonalUp="false" diagonalDown="false">
      <left/>
      <right/>
      <top style="thin"/>
      <bottom style="thin"/>
      <diagonal/>
    </border>
    <border diagonalUp="false" diagonalDown="false">
      <left style="medium">
        <color theme="0" tint="-0.25"/>
      </left>
      <right style="medium">
        <color theme="0" tint="-0.25"/>
      </right>
      <top style="thick">
        <color theme="1" tint="0.3499"/>
      </top>
      <bottom/>
      <diagonal/>
    </border>
    <border diagonalUp="false" diagonalDown="false">
      <left style="medium">
        <color theme="0" tint="-0.25"/>
      </left>
      <right style="medium">
        <color theme="0" tint="-0.25"/>
      </right>
      <top/>
      <bottom/>
      <diagonal/>
    </border>
    <border diagonalUp="false" diagonalDown="false">
      <left/>
      <right/>
      <top/>
      <bottom style="thin"/>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1" fillId="0" borderId="0" applyFont="true" applyBorder="false" applyAlignment="true" applyProtection="false">
      <alignment horizontal="general" vertical="bottom" textRotation="0" wrapText="false" indent="0" shrinkToFit="false"/>
    </xf>
  </cellStyleXfs>
  <cellXfs count="158">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general" vertical="bottom" textRotation="0" wrapText="false" indent="0" shrinkToFit="false"/>
      <protection locked="false" hidden="false"/>
    </xf>
    <xf numFmtId="168" fontId="4" fillId="0" borderId="0" xfId="15" applyFont="true" applyBorder="true" applyAlignment="true" applyProtection="true">
      <alignment horizontal="general" vertical="bottom" textRotation="0" wrapText="false" indent="0" shrinkToFit="false"/>
      <protection locked="false" hidden="false"/>
    </xf>
    <xf numFmtId="165" fontId="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8" fontId="4" fillId="2" borderId="0"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general" vertical="bottom" textRotation="0" wrapText="false" indent="0" shrinkToFit="false"/>
      <protection locked="true" hidden="false"/>
    </xf>
    <xf numFmtId="165" fontId="6" fillId="3" borderId="0" xfId="0" applyFont="true" applyBorder="false" applyAlignment="true" applyProtection="true">
      <alignment horizontal="general" vertical="bottom" textRotation="0" wrapText="false" indent="0" shrinkToFit="false"/>
      <protection locked="true" hidden="false"/>
    </xf>
    <xf numFmtId="165" fontId="6" fillId="3" borderId="0" xfId="0" applyFont="true" applyBorder="false" applyAlignment="true" applyProtection="true">
      <alignment horizontal="center" vertical="bottom" textRotation="0" wrapText="false" indent="0" shrinkToFit="false"/>
      <protection locked="true" hidden="false"/>
    </xf>
    <xf numFmtId="168" fontId="4" fillId="3" borderId="0" xfId="15" applyFont="true" applyBorder="true" applyAlignment="true" applyProtection="true">
      <alignment horizontal="general" vertical="bottom" textRotation="0" wrapText="false" indent="0" shrinkToFit="false"/>
      <protection locked="true" hidden="false"/>
    </xf>
    <xf numFmtId="165" fontId="4" fillId="3" borderId="0" xfId="0" applyFont="true" applyBorder="false" applyAlignment="true" applyProtection="true">
      <alignment horizontal="center" vertical="bottom" textRotation="0" wrapText="false" indent="0" shrinkToFit="false"/>
      <protection locked="true" hidden="false"/>
    </xf>
    <xf numFmtId="165" fontId="4" fillId="3" borderId="0" xfId="0" applyFont="true" applyBorder="false" applyAlignment="true" applyProtection="true">
      <alignment horizontal="left" vertical="bottom" textRotation="0" wrapText="false" indent="0" shrinkToFit="false"/>
      <protection locked="true" hidden="false"/>
    </xf>
    <xf numFmtId="164" fontId="7" fillId="4" borderId="1" xfId="0" applyFont="true" applyBorder="true" applyAlignment="true" applyProtection="true">
      <alignment horizontal="left" vertical="bottom" textRotation="0" wrapText="false" indent="0" shrinkToFit="false"/>
      <protection locked="true" hidden="false"/>
    </xf>
    <xf numFmtId="164" fontId="8" fillId="4" borderId="2" xfId="0" applyFont="true" applyBorder="true" applyAlignment="true" applyProtection="true">
      <alignment horizontal="general" vertical="bottom" textRotation="0" wrapText="false" indent="0" shrinkToFit="false"/>
      <protection locked="true" hidden="false"/>
    </xf>
    <xf numFmtId="166" fontId="9" fillId="4" borderId="2" xfId="0" applyFont="true" applyBorder="true" applyAlignment="true" applyProtection="true">
      <alignment horizontal="general" vertical="bottom" textRotation="0" wrapText="false" indent="0" shrinkToFit="false"/>
      <protection locked="true" hidden="false"/>
    </xf>
    <xf numFmtId="168" fontId="10" fillId="5" borderId="2" xfId="15" applyFont="true" applyBorder="true" applyAlignment="true" applyProtection="true">
      <alignment horizontal="general" vertical="bottom" textRotation="0" wrapText="false" indent="0" shrinkToFit="false"/>
      <protection locked="false" hidden="false"/>
    </xf>
    <xf numFmtId="164" fontId="0" fillId="4" borderId="2" xfId="0" applyFont="false" applyBorder="true" applyAlignment="true" applyProtection="true">
      <alignment horizontal="general" vertical="bottom" textRotation="0" wrapText="false" indent="0" shrinkToFit="false"/>
      <protection locked="true" hidden="false"/>
    </xf>
    <xf numFmtId="166" fontId="9" fillId="4" borderId="3"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8" fontId="0" fillId="3" borderId="0" xfId="15" applyFont="true" applyBorder="true" applyAlignment="true" applyProtection="true">
      <alignment horizontal="general" vertical="bottom" textRotation="0" wrapText="false" indent="0" shrinkToFit="false"/>
      <protection locked="true" hidden="false"/>
    </xf>
    <xf numFmtId="164" fontId="7" fillId="4" borderId="4" xfId="0" applyFont="true" applyBorder="true" applyAlignment="true" applyProtection="true">
      <alignment horizontal="left" vertical="bottom" textRotation="0" wrapText="false" indent="0" shrinkToFit="false"/>
      <protection locked="true" hidden="false"/>
    </xf>
    <xf numFmtId="164" fontId="8" fillId="4" borderId="0" xfId="0" applyFont="true" applyBorder="true" applyAlignment="true" applyProtection="true">
      <alignment horizontal="general" vertical="bottom" textRotation="0" wrapText="false" indent="0" shrinkToFit="false"/>
      <protection locked="true" hidden="false"/>
    </xf>
    <xf numFmtId="169" fontId="4" fillId="4" borderId="0" xfId="0" applyFont="true" applyBorder="true" applyAlignment="true" applyProtection="true">
      <alignment horizontal="general" vertical="bottom" textRotation="0" wrapText="false" indent="0" shrinkToFit="false"/>
      <protection locked="true" hidden="false"/>
    </xf>
    <xf numFmtId="167" fontId="10" fillId="5" borderId="0" xfId="15" applyFont="true" applyBorder="true" applyAlignment="true" applyProtection="true">
      <alignment horizontal="general" vertical="bottom" textRotation="0" wrapText="false" indent="0" shrinkToFit="false"/>
      <protection locked="false" hidden="false"/>
    </xf>
    <xf numFmtId="164" fontId="0" fillId="4" borderId="0" xfId="0" applyFont="false" applyBorder="true" applyAlignment="true" applyProtection="true">
      <alignment horizontal="general" vertical="bottom" textRotation="0" wrapText="false" indent="0" shrinkToFit="false"/>
      <protection locked="true" hidden="false"/>
    </xf>
    <xf numFmtId="169" fontId="10" fillId="4" borderId="5" xfId="0" applyFont="true" applyBorder="true" applyAlignment="true" applyProtection="true">
      <alignment horizontal="center" vertical="bottom" textRotation="0" wrapText="false" indent="0" shrinkToFit="false"/>
      <protection locked="true" hidden="false"/>
    </xf>
    <xf numFmtId="164" fontId="11" fillId="3" borderId="5" xfId="0" applyFont="true" applyBorder="true" applyAlignment="true" applyProtection="true">
      <alignment horizontal="right" vertical="center" textRotation="0" wrapText="false" indent="0" shrinkToFit="false"/>
      <protection locked="true" hidden="false"/>
    </xf>
    <xf numFmtId="164" fontId="7" fillId="4" borderId="6" xfId="0" applyFont="true" applyBorder="true" applyAlignment="true" applyProtection="true">
      <alignment horizontal="left" vertical="bottom" textRotation="0" wrapText="false" indent="0" shrinkToFit="false"/>
      <protection locked="true" hidden="false"/>
    </xf>
    <xf numFmtId="164" fontId="8" fillId="4" borderId="7" xfId="0" applyFont="true" applyBorder="true" applyAlignment="true" applyProtection="true">
      <alignment horizontal="general" vertical="bottom" textRotation="0" wrapText="false" indent="0" shrinkToFit="false"/>
      <protection locked="true" hidden="false"/>
    </xf>
    <xf numFmtId="169" fontId="4" fillId="4" borderId="7" xfId="0" applyFont="true" applyBorder="true" applyAlignment="true" applyProtection="true">
      <alignment horizontal="general" vertical="bottom" textRotation="0" wrapText="false" indent="0" shrinkToFit="false"/>
      <protection locked="true" hidden="false"/>
    </xf>
    <xf numFmtId="167" fontId="10" fillId="5" borderId="7" xfId="15" applyFont="true" applyBorder="true" applyAlignment="true" applyProtection="true">
      <alignment horizontal="general" vertical="bottom" textRotation="0" wrapText="false" indent="0" shrinkToFit="false"/>
      <protection locked="false" hidden="false"/>
    </xf>
    <xf numFmtId="164" fontId="0" fillId="4" borderId="7" xfId="0" applyFont="false" applyBorder="true" applyAlignment="true" applyProtection="true">
      <alignment horizontal="general" vertical="bottom" textRotation="0" wrapText="false" indent="0" shrinkToFit="false"/>
      <protection locked="true" hidden="false"/>
    </xf>
    <xf numFmtId="164" fontId="0" fillId="4" borderId="8" xfId="0" applyFont="false" applyBorder="true" applyAlignment="true" applyProtection="true">
      <alignment horizontal="general" vertical="bottom" textRotation="0" wrapText="false" indent="0" shrinkToFit="false"/>
      <protection locked="true" hidden="false"/>
    </xf>
    <xf numFmtId="170" fontId="0" fillId="3" borderId="0" xfId="0" applyFont="false" applyBorder="false" applyAlignment="true" applyProtection="true">
      <alignment horizontal="general" vertical="bottom" textRotation="0" wrapText="false" indent="0" shrinkToFit="false"/>
      <protection locked="true" hidden="false"/>
    </xf>
    <xf numFmtId="165" fontId="4" fillId="3" borderId="0" xfId="0" applyFont="true" applyBorder="false" applyAlignment="true" applyProtection="true">
      <alignment horizontal="general" vertical="center" textRotation="0" wrapText="false" indent="0" shrinkToFit="false"/>
      <protection locked="true" hidden="false"/>
    </xf>
    <xf numFmtId="164" fontId="7" fillId="4" borderId="4" xfId="0" applyFont="true" applyBorder="true" applyAlignment="true" applyProtection="true">
      <alignment horizontal="left" vertical="center" textRotation="0" wrapText="false" indent="0" shrinkToFit="false"/>
      <protection locked="true" hidden="false"/>
    </xf>
    <xf numFmtId="164" fontId="8" fillId="4" borderId="0" xfId="0" applyFont="true" applyBorder="true" applyAlignment="true" applyProtection="true">
      <alignment horizontal="general" vertical="center" textRotation="0" wrapText="false" indent="0" shrinkToFit="false"/>
      <protection locked="true" hidden="false"/>
    </xf>
    <xf numFmtId="169" fontId="4" fillId="4" borderId="0" xfId="0" applyFont="true" applyBorder="true" applyAlignment="true" applyProtection="true">
      <alignment horizontal="left" vertical="center" textRotation="0" wrapText="false" indent="0" shrinkToFit="false"/>
      <protection locked="true" hidden="false"/>
    </xf>
    <xf numFmtId="168" fontId="10" fillId="5" borderId="0" xfId="15" applyFont="true" applyBorder="true" applyAlignment="true" applyProtection="true">
      <alignment horizontal="general" vertical="center" textRotation="0" wrapText="false" indent="0" shrinkToFit="false"/>
      <protection locked="false" hidden="false"/>
    </xf>
    <xf numFmtId="164" fontId="0" fillId="4" borderId="0" xfId="0" applyFont="false" applyBorder="true" applyAlignment="true" applyProtection="true">
      <alignment horizontal="general" vertical="center" textRotation="0" wrapText="false" indent="0" shrinkToFit="false"/>
      <protection locked="true" hidden="false"/>
    </xf>
    <xf numFmtId="164" fontId="9" fillId="4" borderId="5" xfId="0" applyFont="true" applyBorder="true" applyAlignment="true" applyProtection="true">
      <alignment horizontal="general" vertical="center" textRotation="0" wrapText="false" indent="0" shrinkToFit="false"/>
      <protection locked="true" hidden="false"/>
    </xf>
    <xf numFmtId="164" fontId="0" fillId="3" borderId="0" xfId="0" applyFont="false" applyBorder="false" applyAlignment="true" applyProtection="true">
      <alignment horizontal="general" vertical="center" textRotation="0" wrapText="false" indent="0" shrinkToFit="false"/>
      <protection locked="true" hidden="false"/>
    </xf>
    <xf numFmtId="168" fontId="0" fillId="3" borderId="0" xfId="15" applyFont="true" applyBorder="tru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5" fontId="4" fillId="3" borderId="0" xfId="0" applyFont="true" applyBorder="false" applyAlignment="true" applyProtection="true">
      <alignment horizontal="general" vertical="top" textRotation="0" wrapText="false" indent="0" shrinkToFit="false"/>
      <protection locked="true" hidden="false"/>
    </xf>
    <xf numFmtId="164" fontId="7" fillId="4" borderId="9" xfId="0" applyFont="true" applyBorder="true" applyAlignment="true" applyProtection="true">
      <alignment horizontal="left" vertical="top" textRotation="0" wrapText="false" indent="0" shrinkToFit="false"/>
      <protection locked="true" hidden="false"/>
    </xf>
    <xf numFmtId="164" fontId="8" fillId="4" borderId="10" xfId="0" applyFont="true" applyBorder="true" applyAlignment="true" applyProtection="true">
      <alignment horizontal="general" vertical="top" textRotation="0" wrapText="false" indent="0" shrinkToFit="false"/>
      <protection locked="true" hidden="false"/>
    </xf>
    <xf numFmtId="169" fontId="4" fillId="4" borderId="10" xfId="0" applyFont="true" applyBorder="true" applyAlignment="true" applyProtection="true">
      <alignment horizontal="left" vertical="top" textRotation="0" wrapText="false" indent="0" shrinkToFit="false"/>
      <protection locked="true" hidden="false"/>
    </xf>
    <xf numFmtId="168" fontId="10" fillId="5" borderId="10" xfId="15" applyFont="true" applyBorder="true" applyAlignment="true" applyProtection="true">
      <alignment horizontal="general" vertical="top" textRotation="0" wrapText="false" indent="0" shrinkToFit="false"/>
      <protection locked="false" hidden="false"/>
    </xf>
    <xf numFmtId="164" fontId="0" fillId="4" borderId="10" xfId="0" applyFont="false" applyBorder="true" applyAlignment="true" applyProtection="true">
      <alignment horizontal="general" vertical="top" textRotation="0" wrapText="false" indent="0" shrinkToFit="false"/>
      <protection locked="true" hidden="false"/>
    </xf>
    <xf numFmtId="164" fontId="0" fillId="4" borderId="11" xfId="0" applyFont="false" applyBorder="true" applyAlignment="true" applyProtection="true">
      <alignment horizontal="general" vertical="top" textRotation="0" wrapText="false" indent="0" shrinkToFit="false"/>
      <protection locked="true" hidden="false"/>
    </xf>
    <xf numFmtId="164" fontId="0" fillId="3" borderId="0" xfId="0" applyFont="false" applyBorder="false" applyAlignment="true" applyProtection="true">
      <alignment horizontal="general" vertical="top" textRotation="0" wrapText="false" indent="0" shrinkToFit="false"/>
      <protection locked="true" hidden="false"/>
    </xf>
    <xf numFmtId="168" fontId="0" fillId="3" borderId="0" xfId="15" applyFont="true" applyBorder="tru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6" fontId="4" fillId="4" borderId="0" xfId="0" applyFont="true" applyBorder="true" applyAlignment="true" applyProtection="true">
      <alignment horizontal="left" vertical="bottom" textRotation="0" wrapText="false" indent="0" shrinkToFit="false"/>
      <protection locked="true" hidden="false"/>
    </xf>
    <xf numFmtId="166" fontId="10" fillId="5" borderId="0" xfId="0" applyFont="true" applyBorder="true" applyAlignment="true" applyProtection="true">
      <alignment horizontal="center" vertical="bottom" textRotation="0" wrapText="false" indent="0" shrinkToFit="false"/>
      <protection locked="false" hidden="false"/>
    </xf>
    <xf numFmtId="166" fontId="9" fillId="4" borderId="5" xfId="0" applyFont="true" applyBorder="true" applyAlignment="true" applyProtection="true">
      <alignment horizontal="right" vertical="bottom" textRotation="0" wrapText="false" indent="0" shrinkToFit="false"/>
      <protection locked="true" hidden="false"/>
    </xf>
    <xf numFmtId="164" fontId="7" fillId="4" borderId="12" xfId="0" applyFont="true" applyBorder="true" applyAlignment="true" applyProtection="true">
      <alignment horizontal="left" vertical="bottom" textRotation="0" wrapText="false" indent="0" shrinkToFit="false"/>
      <protection locked="true" hidden="false"/>
    </xf>
    <xf numFmtId="164" fontId="8" fillId="4" borderId="13" xfId="0" applyFont="true" applyBorder="true" applyAlignment="true" applyProtection="true">
      <alignment horizontal="general" vertical="bottom" textRotation="0" wrapText="false" indent="0" shrinkToFit="false"/>
      <protection locked="true" hidden="false"/>
    </xf>
    <xf numFmtId="166" fontId="4" fillId="4" borderId="13" xfId="0" applyFont="true" applyBorder="true" applyAlignment="true" applyProtection="true">
      <alignment horizontal="left" vertical="bottom" textRotation="0" wrapText="false" indent="0" shrinkToFit="false"/>
      <protection locked="true" hidden="false"/>
    </xf>
    <xf numFmtId="171" fontId="10" fillId="5" borderId="13" xfId="0" applyFont="true" applyBorder="true" applyAlignment="true" applyProtection="true">
      <alignment horizontal="center" vertical="bottom" textRotation="0" wrapText="false" indent="0" shrinkToFit="false"/>
      <protection locked="false" hidden="false"/>
    </xf>
    <xf numFmtId="164" fontId="0" fillId="4" borderId="13" xfId="0" applyFont="false" applyBorder="true" applyAlignment="true" applyProtection="true">
      <alignment horizontal="general" vertical="bottom" textRotation="0" wrapText="false" indent="0" shrinkToFit="false"/>
      <protection locked="true" hidden="false"/>
    </xf>
    <xf numFmtId="166" fontId="9" fillId="4" borderId="14" xfId="0" applyFont="true" applyBorder="true" applyAlignment="true" applyProtection="true">
      <alignment horizontal="right" vertical="bottom" textRotation="0" wrapText="false" indent="0" shrinkToFit="false"/>
      <protection locked="true" hidden="false"/>
    </xf>
    <xf numFmtId="164" fontId="7" fillId="6" borderId="15" xfId="0" applyFont="true" applyBorder="true" applyAlignment="true" applyProtection="true">
      <alignment horizontal="left" vertical="bottom" textRotation="0" wrapText="false" indent="0" shrinkToFit="false"/>
      <protection locked="true" hidden="false"/>
    </xf>
    <xf numFmtId="164" fontId="8" fillId="6" borderId="16" xfId="0" applyFont="true" applyBorder="true" applyAlignment="true" applyProtection="true">
      <alignment horizontal="general" vertical="bottom" textRotation="0" wrapText="false" indent="0" shrinkToFit="false"/>
      <protection locked="true" hidden="false"/>
    </xf>
    <xf numFmtId="164" fontId="11" fillId="6" borderId="16" xfId="0" applyFont="true" applyBorder="true" applyAlignment="true" applyProtection="true">
      <alignment horizontal="general" vertical="bottom" textRotation="0" wrapText="false" indent="0" shrinkToFit="false"/>
      <protection locked="true" hidden="false"/>
    </xf>
    <xf numFmtId="172" fontId="10" fillId="7" borderId="16" xfId="0" applyFont="true" applyBorder="true" applyAlignment="true" applyProtection="true">
      <alignment horizontal="general" vertical="bottom" textRotation="0" wrapText="false" indent="0" shrinkToFit="false"/>
      <protection locked="true" hidden="true"/>
    </xf>
    <xf numFmtId="164" fontId="13" fillId="6" borderId="17" xfId="0" applyFont="true" applyBorder="true" applyAlignment="true" applyProtection="true">
      <alignment horizontal="center" vertical="bottom" textRotation="0" wrapText="false" indent="0" shrinkToFit="false"/>
      <protection locked="true" hidden="false"/>
    </xf>
    <xf numFmtId="164" fontId="7" fillId="6" borderId="4" xfId="0" applyFont="true" applyBorder="true" applyAlignment="true" applyProtection="true">
      <alignment horizontal="left" vertical="bottom" textRotation="0" wrapText="false" indent="0" shrinkToFit="false"/>
      <protection locked="true" hidden="false"/>
    </xf>
    <xf numFmtId="164" fontId="7" fillId="6" borderId="0" xfId="0" applyFont="true" applyBorder="true" applyAlignment="true" applyProtection="true">
      <alignment horizontal="general" vertical="bottom" textRotation="0" wrapText="false" indent="0" shrinkToFit="false"/>
      <protection locked="true" hidden="false"/>
    </xf>
    <xf numFmtId="172" fontId="10" fillId="6" borderId="0" xfId="0" applyFont="true" applyBorder="true" applyAlignment="true" applyProtection="true">
      <alignment horizontal="general" vertical="bottom" textRotation="0" wrapText="false" indent="0" shrinkToFit="false"/>
      <protection locked="true" hidden="false"/>
    </xf>
    <xf numFmtId="164" fontId="10" fillId="7" borderId="0" xfId="0" applyFont="true" applyBorder="true" applyAlignment="true" applyProtection="true">
      <alignment horizontal="center" vertical="bottom" textRotation="0" wrapText="false" indent="0" shrinkToFit="false"/>
      <protection locked="true" hidden="true"/>
    </xf>
    <xf numFmtId="164" fontId="10" fillId="6" borderId="0" xfId="0" applyFont="true" applyBorder="true" applyAlignment="true" applyProtection="true">
      <alignment horizontal="general" vertical="bottom" textRotation="0" wrapText="false" indent="0" shrinkToFit="false"/>
      <protection locked="true" hidden="false"/>
    </xf>
    <xf numFmtId="166" fontId="9" fillId="6" borderId="5" xfId="0" applyFont="true" applyBorder="true" applyAlignment="true" applyProtection="true">
      <alignment horizontal="general" vertical="bottom" textRotation="0" wrapText="false" indent="0" shrinkToFit="false"/>
      <protection locked="true" hidden="false"/>
    </xf>
    <xf numFmtId="165" fontId="10" fillId="3" borderId="0" xfId="0" applyFont="true" applyBorder="false" applyAlignment="true" applyProtection="true">
      <alignment horizontal="right" vertical="center" textRotation="0" wrapText="false" indent="0" shrinkToFit="false"/>
      <protection locked="true" hidden="false"/>
    </xf>
    <xf numFmtId="166" fontId="10" fillId="5" borderId="18" xfId="0" applyFont="true" applyBorder="true" applyAlignment="true" applyProtection="true">
      <alignment horizontal="center" vertical="bottom" textRotation="0" wrapText="false" indent="0" shrinkToFit="false"/>
      <protection locked="false" hidden="false"/>
    </xf>
    <xf numFmtId="164" fontId="7" fillId="6" borderId="4" xfId="0" applyFont="true" applyBorder="true" applyAlignment="true" applyProtection="true">
      <alignment horizontal="center" vertical="bottom" textRotation="0" wrapText="false" indent="0" shrinkToFit="false"/>
      <protection locked="true" hidden="false"/>
    </xf>
    <xf numFmtId="164" fontId="7" fillId="6" borderId="19" xfId="0" applyFont="true" applyBorder="true" applyAlignment="true" applyProtection="true">
      <alignment horizontal="left" vertical="bottom" textRotation="0" wrapText="false" indent="0" shrinkToFit="false"/>
      <protection locked="true" hidden="false"/>
    </xf>
    <xf numFmtId="164" fontId="8" fillId="6" borderId="20" xfId="0" applyFont="true" applyBorder="true" applyAlignment="true" applyProtection="true">
      <alignment horizontal="general" vertical="bottom" textRotation="0" wrapText="false" indent="0" shrinkToFit="false"/>
      <protection locked="true" hidden="false"/>
    </xf>
    <xf numFmtId="164" fontId="11" fillId="6" borderId="20" xfId="0" applyFont="true" applyBorder="true" applyAlignment="true" applyProtection="true">
      <alignment horizontal="general" vertical="bottom" textRotation="0" wrapText="false" indent="0" shrinkToFit="false"/>
      <protection locked="true" hidden="false"/>
    </xf>
    <xf numFmtId="171" fontId="10" fillId="7" borderId="20" xfId="0" applyFont="true" applyBorder="true" applyAlignment="true" applyProtection="true">
      <alignment horizontal="center" vertical="bottom" textRotation="0" wrapText="false" indent="0" shrinkToFit="false"/>
      <protection locked="true" hidden="true"/>
    </xf>
    <xf numFmtId="164" fontId="14" fillId="6" borderId="20" xfId="0" applyFont="true" applyBorder="true" applyAlignment="true" applyProtection="true">
      <alignment horizontal="center" vertical="bottom" textRotation="0" wrapText="false" indent="0" shrinkToFit="false"/>
      <protection locked="true" hidden="false"/>
    </xf>
    <xf numFmtId="166" fontId="9" fillId="6" borderId="21" xfId="0" applyFont="true" applyBorder="true" applyAlignment="true" applyProtection="true">
      <alignment horizontal="general" vertical="bottom" textRotation="0" wrapText="false" indent="0" shrinkToFit="false"/>
      <protection locked="true" hidden="false"/>
    </xf>
    <xf numFmtId="172" fontId="10" fillId="2" borderId="22" xfId="0" applyFont="true" applyBorder="true" applyAlignment="true" applyProtection="true">
      <alignment horizontal="general" vertical="bottom" textRotation="0" wrapText="false" indent="0" shrinkToFit="false"/>
      <protection locked="true" hidden="true"/>
    </xf>
    <xf numFmtId="172" fontId="10" fillId="2" borderId="7" xfId="0" applyFont="true" applyBorder="true" applyAlignment="true" applyProtection="true">
      <alignment horizontal="general" vertical="bottom" textRotation="0" wrapText="false" indent="0" shrinkToFit="false"/>
      <protection locked="true" hidden="true"/>
    </xf>
    <xf numFmtId="164" fontId="0" fillId="2" borderId="23" xfId="0" applyFont="fals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2" borderId="24" xfId="0" applyFont="true" applyBorder="true" applyAlignment="true" applyProtection="true">
      <alignment horizontal="general" vertical="bottom" textRotation="0" wrapText="false" indent="0" shrinkToFit="false"/>
      <protection locked="true" hidden="false"/>
    </xf>
    <xf numFmtId="165" fontId="4" fillId="2" borderId="0" xfId="0" applyFont="true" applyBorder="true" applyAlignment="true" applyProtection="true">
      <alignment horizontal="general" vertical="bottom" textRotation="0" wrapText="false" indent="0" shrinkToFit="false"/>
      <protection locked="true" hidden="false"/>
    </xf>
    <xf numFmtId="164" fontId="0" fillId="2" borderId="25" xfId="0" applyFont="false" applyBorder="tru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5" fontId="4" fillId="8"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9" fillId="8" borderId="0" xfId="0" applyFont="true" applyBorder="false" applyAlignment="true" applyProtection="true">
      <alignment horizontal="general" vertical="bottom" textRotation="0" wrapText="false" indent="0" shrinkToFit="false"/>
      <protection locked="true" hidden="false"/>
    </xf>
    <xf numFmtId="168" fontId="0" fillId="8" borderId="0" xfId="15" applyFont="true" applyBorder="true" applyAlignment="true" applyProtection="true">
      <alignment horizontal="general" vertical="bottom" textRotation="0" wrapText="false" indent="0" shrinkToFit="false"/>
      <protection locked="true" hidden="false"/>
    </xf>
    <xf numFmtId="165" fontId="10" fillId="9" borderId="26" xfId="0" applyFont="true" applyBorder="true" applyAlignment="true" applyProtection="true">
      <alignment horizontal="left" vertical="center" textRotation="0" wrapText="false" indent="0" shrinkToFit="false"/>
      <protection locked="true" hidden="false"/>
    </xf>
    <xf numFmtId="164" fontId="15" fillId="9" borderId="26" xfId="0" applyFont="true" applyBorder="true" applyAlignment="true" applyProtection="true">
      <alignment horizontal="general" vertical="center" textRotation="0" wrapText="false" indent="0" shrinkToFit="false"/>
      <protection locked="true" hidden="false"/>
    </xf>
    <xf numFmtId="165" fontId="15" fillId="9" borderId="26" xfId="0" applyFont="true" applyBorder="true" applyAlignment="true" applyProtection="true">
      <alignment horizontal="general" vertical="center" textRotation="0" wrapText="false" indent="0" shrinkToFit="false"/>
      <protection locked="true" hidden="false"/>
    </xf>
    <xf numFmtId="165" fontId="10" fillId="9" borderId="26" xfId="0" applyFont="true" applyBorder="true" applyAlignment="true" applyProtection="true">
      <alignment horizontal="right" vertical="center" textRotation="0" wrapText="false" indent="0" shrinkToFit="false"/>
      <protection locked="true" hidden="false"/>
    </xf>
    <xf numFmtId="164" fontId="10" fillId="9" borderId="26" xfId="0" applyFont="true" applyBorder="true" applyAlignment="true" applyProtection="true">
      <alignment horizontal="center" vertical="center" textRotation="0" wrapText="false" indent="0" shrinkToFit="false"/>
      <protection locked="true" hidden="true"/>
    </xf>
    <xf numFmtId="164" fontId="10" fillId="9" borderId="26" xfId="0" applyFont="true" applyBorder="true" applyAlignment="true" applyProtection="true">
      <alignment horizontal="right" vertical="center" textRotation="0" wrapText="false" indent="0" shrinkToFit="false"/>
      <protection locked="true" hidden="false"/>
    </xf>
    <xf numFmtId="166" fontId="10" fillId="9" borderId="26" xfId="0" applyFont="true" applyBorder="true" applyAlignment="true" applyProtection="true">
      <alignment horizontal="right" vertical="center" textRotation="0" wrapText="false" indent="0" shrinkToFit="false"/>
      <protection locked="true" hidden="false"/>
    </xf>
    <xf numFmtId="164" fontId="0" fillId="9" borderId="26" xfId="0" applyFont="false" applyBorder="true" applyAlignment="true" applyProtection="true">
      <alignment horizontal="general" vertical="center" textRotation="0" wrapText="false" indent="0" shrinkToFit="false"/>
      <protection locked="true" hidden="false"/>
    </xf>
    <xf numFmtId="164" fontId="4" fillId="7" borderId="26" xfId="0" applyFont="true" applyBorder="true" applyAlignment="true" applyProtection="true">
      <alignment horizontal="general" vertical="center" textRotation="0" wrapText="false" indent="0" shrinkToFit="false"/>
      <protection locked="true" hidden="false"/>
    </xf>
    <xf numFmtId="168" fontId="10" fillId="9" borderId="27" xfId="15" applyFont="true" applyBorder="true" applyAlignment="true" applyProtection="true">
      <alignment horizontal="center" vertical="center" textRotation="0" wrapText="false" indent="0" shrinkToFit="false"/>
      <protection locked="true" hidden="true"/>
    </xf>
    <xf numFmtId="164" fontId="4" fillId="9" borderId="26" xfId="0" applyFont="true" applyBorder="true" applyAlignment="true" applyProtection="true">
      <alignment horizontal="general" vertical="center" textRotation="0" wrapText="false" indent="0" shrinkToFit="false"/>
      <protection locked="true" hidden="false"/>
    </xf>
    <xf numFmtId="164" fontId="4" fillId="0" borderId="28" xfId="0" applyFont="true" applyBorder="true" applyAlignment="true" applyProtection="true">
      <alignment horizontal="general" vertical="center" textRotation="0" wrapText="false" indent="0" shrinkToFit="false"/>
      <protection locked="true" hidden="false"/>
    </xf>
    <xf numFmtId="165" fontId="4" fillId="10" borderId="0" xfId="0" applyFont="true" applyBorder="false" applyAlignment="true" applyProtection="true">
      <alignment horizontal="general" vertical="bottom" textRotation="0" wrapText="false" indent="0" shrinkToFit="false"/>
      <protection locked="true" hidden="true"/>
    </xf>
    <xf numFmtId="164" fontId="4" fillId="10" borderId="0" xfId="0" applyFont="true" applyBorder="false" applyAlignment="true" applyProtection="true">
      <alignment horizontal="general" vertical="bottom" textRotation="0" wrapText="false" indent="0" shrinkToFit="false"/>
      <protection locked="true" hidden="true"/>
    </xf>
    <xf numFmtId="164" fontId="4" fillId="10" borderId="0" xfId="0" applyFont="true" applyBorder="false" applyAlignment="true" applyProtection="true">
      <alignment horizontal="center" vertical="bottom" textRotation="0" wrapText="false" indent="0" shrinkToFit="false"/>
      <protection locked="true" hidden="true"/>
    </xf>
    <xf numFmtId="172" fontId="4" fillId="10" borderId="0" xfId="0" applyFont="true" applyBorder="false" applyAlignment="true" applyProtection="true">
      <alignment horizontal="general" vertical="bottom" textRotation="0" wrapText="false" indent="0" shrinkToFit="false"/>
      <protection locked="true" hidden="true"/>
    </xf>
    <xf numFmtId="164" fontId="0" fillId="10" borderId="0" xfId="0" applyFont="false" applyBorder="false" applyAlignment="true" applyProtection="true">
      <alignment horizontal="general" vertical="bottom" textRotation="0" wrapText="false" indent="0" shrinkToFit="false"/>
      <protection locked="true" hidden="true"/>
    </xf>
    <xf numFmtId="164" fontId="4" fillId="10" borderId="0" xfId="0" applyFont="true" applyBorder="false" applyAlignment="true" applyProtection="true">
      <alignment horizontal="general" vertical="bottom" textRotation="0" wrapText="false" indent="0" shrinkToFit="false"/>
      <protection locked="true" hidden="false"/>
    </xf>
    <xf numFmtId="168" fontId="4" fillId="10" borderId="29" xfId="15" applyFont="true" applyBorder="true" applyAlignment="true" applyProtection="true">
      <alignment horizontal="general" vertical="bottom" textRotation="0" wrapText="false" indent="0" shrinkToFit="false"/>
      <protection locked="true" hidden="false"/>
    </xf>
    <xf numFmtId="171" fontId="4" fillId="10" borderId="0" xfId="0" applyFont="true" applyBorder="false" applyAlignment="true" applyProtection="true">
      <alignment horizontal="center" vertical="bottom" textRotation="0" wrapText="false" indent="0" shrinkToFit="false"/>
      <protection locked="true" hidden="true"/>
    </xf>
    <xf numFmtId="168" fontId="4" fillId="10" borderId="30" xfId="15" applyFont="true" applyBorder="true" applyAlignment="true" applyProtection="true">
      <alignment horizontal="general" vertical="bottom" textRotation="0" wrapText="false" indent="0" shrinkToFit="false"/>
      <protection locked="true" hidden="false"/>
    </xf>
    <xf numFmtId="171" fontId="4" fillId="10" borderId="0" xfId="0" applyFont="true" applyBorder="false" applyAlignment="true" applyProtection="true">
      <alignment horizontal="general" vertical="bottom" textRotation="0" wrapText="false" indent="0" shrinkToFit="false"/>
      <protection locked="true" hidden="false"/>
    </xf>
    <xf numFmtId="168" fontId="4" fillId="10" borderId="0" xfId="15"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4" fontId="21" fillId="0" borderId="0" xfId="20" applyFont="true" applyBorder="true" applyAlignment="true" applyProtection="true">
      <alignment horizontal="left" vertical="center" textRotation="0" wrapText="false" indent="1"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21" fillId="0" borderId="0" xfId="20" applyFont="true" applyBorder="tru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2" shrinkToFit="false"/>
      <protection locked="true" hidden="false"/>
    </xf>
    <xf numFmtId="164" fontId="21" fillId="0" borderId="0" xfId="20" applyFont="true" applyBorder="true" applyAlignment="true" applyProtection="true">
      <alignment horizontal="left" vertical="center" textRotation="0" wrapText="false" indent="2"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10" fillId="0" borderId="31" xfId="0" applyFont="true" applyBorder="true" applyAlignment="true" applyProtection="true">
      <alignment horizontal="center" vertical="bottom" textRotation="0" wrapText="false" indent="0" shrinkToFit="false"/>
      <protection locked="true" hidden="false"/>
    </xf>
    <xf numFmtId="164" fontId="10" fillId="0" borderId="31"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center" vertical="center" textRotation="0" wrapText="false" indent="0" shrinkToFit="false"/>
      <protection locked="true" hidden="false"/>
    </xf>
    <xf numFmtId="173" fontId="0" fillId="10" borderId="0" xfId="0" applyFont="false" applyBorder="false" applyAlignment="true" applyProtection="true">
      <alignment horizontal="general" vertical="bottom" textRotation="0" wrapText="false" indent="0" shrinkToFit="false"/>
      <protection locked="true" hidden="true"/>
    </xf>
    <xf numFmtId="164" fontId="7" fillId="4"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9" fillId="1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center" vertical="bottom" textRotation="0" wrapText="false" indent="0" shrinkToFit="false"/>
      <protection locked="true" hidden="false"/>
    </xf>
    <xf numFmtId="169"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7" fillId="6" borderId="32" xfId="0" applyFont="true" applyBorder="tru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true"/>
    </xf>
    <xf numFmtId="164" fontId="7" fillId="6" borderId="0" xfId="0" applyFont="true" applyBorder="false" applyAlignment="true" applyProtection="true">
      <alignment horizontal="general" vertical="bottom" textRotation="0" wrapText="false" indent="0" shrinkToFit="false"/>
      <protection locked="true" hidden="false"/>
    </xf>
    <xf numFmtId="174" fontId="9" fillId="11" borderId="0" xfId="0" applyFont="true" applyBorder="false" applyAlignment="true" applyProtection="true">
      <alignment horizontal="general" vertical="bottom" textRotation="0" wrapText="false" indent="0" shrinkToFit="false"/>
      <protection locked="true" hidden="true"/>
    </xf>
    <xf numFmtId="172" fontId="0" fillId="0"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2">
    <dxf>
      <border diagonalUp="false" diagonalDown="false">
        <left/>
        <right/>
        <top/>
        <bottom style="thin">
          <color theme="6" tint="-0.25"/>
        </bottom>
        <diagonal/>
      </border>
    </dxf>
    <dxf>
      <font>
        <b val="1"/>
        <i val="0"/>
      </font>
      <fill>
        <patternFill>
          <bgColor rgb="FFFF8080"/>
        </patternFill>
      </fill>
    </dxf>
    <dxf>
      <border diagonalUp="false" diagonalDown="false">
        <left/>
        <right/>
        <top/>
        <bottom style="thin">
          <color theme="6" tint="-0.25"/>
        </bottom>
        <diagonal/>
      </border>
    </dxf>
    <dxf>
      <border diagonalUp="false" diagonalDown="false">
        <left/>
        <right/>
        <top/>
        <bottom style="thin">
          <color theme="6" tint="-0.25"/>
        </bottom>
        <diagonal/>
      </border>
    </dxf>
    <dxf>
      <border diagonalUp="false" diagonalDown="false">
        <left/>
        <right/>
        <top/>
        <bottom style="thin">
          <color theme="6" tint="-0.25"/>
        </bottom>
        <diagonal/>
      </border>
    </dxf>
    <dxf>
      <border diagonalUp="false" diagonalDown="false">
        <left/>
        <right/>
        <top/>
        <bottom style="thin">
          <color theme="6" tint="-0.25"/>
        </bottom>
        <diagonal/>
      </border>
    </dxf>
    <dxf>
      <font>
        <b val="1"/>
        <i val="0"/>
      </font>
      <fill>
        <patternFill>
          <bgColor rgb="FFFF0000"/>
        </patternFill>
      </fill>
      <border diagonalUp="false" diagonalDown="false">
        <left style="thin"/>
        <right style="thin"/>
        <top style="thin"/>
        <bottom style="thin"/>
        <diagonal/>
      </border>
    </dxf>
    <dxf>
      <font>
        <color rgb="FFD99694"/>
      </font>
    </dxf>
    <dxf>
      <font>
        <color rgb="FF000000"/>
      </font>
    </dxf>
    <dxf>
      <font>
        <color rgb="FFE6B9B8"/>
      </font>
    </dxf>
    <dxf>
      <font>
        <color rgb="FFE6B9B8"/>
      </font>
    </dxf>
    <dxf>
      <border diagonalUp="false" diagonalDown="false">
        <left/>
        <right/>
        <top/>
        <bottom style="thin">
          <color theme="6" tint="-0.25"/>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C0C0C0"/>
      <rgbColor rgb="FF808080"/>
      <rgbColor rgb="FFBFBFBF"/>
      <rgbColor rgb="FF993366"/>
      <rgbColor rgb="FFFFFFCC"/>
      <rgbColor rgb="FFCCC1DA"/>
      <rgbColor rgb="FF660066"/>
      <rgbColor rgb="FFFF8080"/>
      <rgbColor rgb="FF0066CC"/>
      <rgbColor rgb="FFC0C0F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D99694"/>
      <rgbColor rgb="FFCC9CCC"/>
      <rgbColor rgb="FFE6B9B8"/>
      <rgbColor rgb="FF3366FF"/>
      <rgbColor rgb="FF33CCCC"/>
      <rgbColor rgb="FFC4BD97"/>
      <rgbColor rgb="FFFFCC00"/>
      <rgbColor rgb="FFFF9900"/>
      <rgbColor rgb="FFFF6600"/>
      <rgbColor rgb="FF595959"/>
      <rgbColor rgb="FF948A54"/>
      <rgbColor rgb="FF003366"/>
      <rgbColor rgb="FF339966"/>
      <rgbColor rgb="FF003300"/>
      <rgbColor rgb="FF66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de.wikipedia.org/wiki/Effektiver_Jahreszins" TargetMode="External"/><Relationship Id="rId2" Type="http://schemas.openxmlformats.org/officeDocument/2006/relationships/hyperlink" Target="http://de.wikipedia.org/wiki/Zinseszins" TargetMode="External"/><Relationship Id="rId3" Type="http://schemas.openxmlformats.org/officeDocument/2006/relationships/hyperlink" Target="http://de.wikipedia.org/wiki/Vorzeichen_%28Zahl%29" TargetMode="External"/><Relationship Id="rId4" Type="http://schemas.openxmlformats.org/officeDocument/2006/relationships/hyperlink" Target="http://de.wikipedia.org/wiki/Disagio" TargetMode="External"/><Relationship Id="rId5" Type="http://schemas.openxmlformats.org/officeDocument/2006/relationships/hyperlink" Target="http://de.wikipedia.org/wiki/Annuit&#228;tendarlehen" TargetMode="External"/><Relationship Id="rId6" Type="http://schemas.openxmlformats.org/officeDocument/2006/relationships/hyperlink" Target="http://de.wikipedia.org/wiki/Fixpunktiteration" TargetMode="External"/><Relationship Id="rId7" Type="http://schemas.openxmlformats.org/officeDocument/2006/relationships/hyperlink" Target="http://de.wikipedia.org/wiki/Monoton_steigend" TargetMode="External"/><Relationship Id="rId8" Type="http://schemas.openxmlformats.org/officeDocument/2006/relationships/hyperlink" Target="http://de.wikipedia.org/wiki/Vollst&#228;ndige_Induktion" TargetMode="External"/><Relationship Id="rId9" Type="http://schemas.openxmlformats.org/officeDocument/2006/relationships/hyperlink" Target="http://de.wikipedia.org/wiki/Monoton_fallend" TargetMode="External"/><Relationship Id="rId10" Type="http://schemas.openxmlformats.org/officeDocument/2006/relationships/hyperlink" Target="http://de.wikipedia.org/wiki/Fixpunktitera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10"/>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7" ySplit="0" topLeftCell="H1" activePane="topRight" state="frozen"/>
      <selection pane="topLeft" activeCell="A1" activeCellId="0" sqref="A1"/>
      <selection pane="topRight" activeCell="AB3" activeCellId="0" sqref="AB3"/>
    </sheetView>
  </sheetViews>
  <sheetFormatPr defaultColWidth="11.453125" defaultRowHeight="12" customHeight="false" zeroHeight="false" outlineLevelRow="0" outlineLevelCol="0"/>
  <cols>
    <col collapsed="false" customWidth="true" hidden="false" outlineLevel="0" max="1" min="1" style="1" width="4.27"/>
    <col collapsed="false" customWidth="true" hidden="false" outlineLevel="0" max="2" min="2" style="1" width="3"/>
    <col collapsed="false" customWidth="true" hidden="false" outlineLevel="0" max="3" min="3" style="2" width="5.82"/>
    <col collapsed="false" customWidth="true" hidden="false" outlineLevel="0" max="4" min="4" style="1" width="3.54"/>
    <col collapsed="false" customWidth="true" hidden="false" outlineLevel="0" max="5" min="5" style="2" width="9"/>
    <col collapsed="false" customWidth="true" hidden="false" outlineLevel="0" max="6" min="6" style="3" width="17.27"/>
    <col collapsed="false" customWidth="true" hidden="false" outlineLevel="0" max="7" min="7" style="4" width="10.45"/>
    <col collapsed="false" customWidth="true" hidden="false" outlineLevel="0" max="10" min="8" style="5" width="13.18"/>
    <col collapsed="false" customWidth="true" hidden="false" outlineLevel="0" max="11" min="11" style="5" width="3.54"/>
    <col collapsed="false" customWidth="true" hidden="false" outlineLevel="0" max="12" min="12" style="4" width="16.18"/>
    <col collapsed="false" customWidth="true" hidden="false" outlineLevel="0" max="13" min="13" style="2" width="15.73"/>
    <col collapsed="false" customWidth="true" hidden="false" outlineLevel="0" max="14" min="14" style="4" width="14.45"/>
    <col collapsed="false" customWidth="true" hidden="false" outlineLevel="0" max="15" min="15" style="4" width="4.27"/>
    <col collapsed="false" customWidth="true" hidden="true" outlineLevel="0" max="16" min="16" style="2" width="4.27"/>
    <col collapsed="false" customWidth="true" hidden="false" outlineLevel="0" max="17" min="17" style="6" width="14.45"/>
    <col collapsed="false" customWidth="false" hidden="false" outlineLevel="0" max="16384" min="18" style="2" width="11.45"/>
  </cols>
  <sheetData>
    <row r="1" s="10" customFormat="true" ht="4.5" hidden="false" customHeight="true" outlineLevel="0" collapsed="false">
      <c r="A1" s="7"/>
      <c r="B1" s="7"/>
      <c r="C1" s="7"/>
      <c r="D1" s="7"/>
      <c r="E1" s="7"/>
      <c r="F1" s="8"/>
      <c r="G1" s="7"/>
      <c r="H1" s="7"/>
      <c r="I1" s="7"/>
      <c r="J1" s="7"/>
      <c r="K1" s="7"/>
      <c r="L1" s="7"/>
      <c r="M1" s="7"/>
      <c r="N1" s="7"/>
      <c r="O1" s="7"/>
      <c r="P1" s="7"/>
      <c r="Q1" s="9"/>
      <c r="R1" s="7"/>
      <c r="S1" s="7"/>
      <c r="T1" s="7"/>
      <c r="U1" s="7"/>
      <c r="V1" s="7"/>
      <c r="W1" s="7"/>
      <c r="X1" s="7"/>
      <c r="Y1" s="7"/>
      <c r="Z1" s="7"/>
      <c r="AA1" s="7"/>
      <c r="AB1" s="7"/>
      <c r="AC1" s="7"/>
    </row>
    <row r="2" s="10" customFormat="true" ht="19.5" hidden="false" customHeight="true" outlineLevel="0" collapsed="false">
      <c r="A2" s="11"/>
      <c r="B2" s="11"/>
      <c r="C2" s="11"/>
      <c r="D2" s="12" t="s">
        <v>0</v>
      </c>
      <c r="E2" s="13"/>
      <c r="F2" s="14"/>
      <c r="G2" s="11"/>
      <c r="H2" s="11"/>
      <c r="I2" s="11"/>
      <c r="J2" s="11"/>
      <c r="K2" s="11"/>
      <c r="L2" s="11"/>
      <c r="M2" s="11"/>
      <c r="N2" s="11"/>
      <c r="O2" s="11"/>
      <c r="P2" s="11"/>
      <c r="Q2" s="15"/>
      <c r="R2" s="11"/>
      <c r="S2" s="11"/>
      <c r="T2" s="11"/>
      <c r="U2" s="11"/>
      <c r="V2" s="11"/>
      <c r="W2" s="11"/>
      <c r="X2" s="11"/>
      <c r="Y2" s="11"/>
      <c r="Z2" s="11"/>
      <c r="AA2" s="11"/>
      <c r="AB2" s="11"/>
      <c r="AC2" s="11"/>
    </row>
    <row r="3" s="10" customFormat="true" ht="4.5" hidden="false" customHeight="true" outlineLevel="0" collapsed="false">
      <c r="A3" s="11"/>
      <c r="B3" s="11"/>
      <c r="C3" s="11"/>
      <c r="D3" s="11"/>
      <c r="E3" s="11"/>
      <c r="F3" s="16"/>
      <c r="G3" s="11"/>
      <c r="H3" s="11"/>
      <c r="I3" s="11"/>
      <c r="J3" s="11"/>
      <c r="K3" s="11"/>
      <c r="L3" s="11"/>
      <c r="M3" s="11"/>
      <c r="N3" s="11"/>
      <c r="O3" s="11"/>
      <c r="P3" s="11"/>
      <c r="Q3" s="15"/>
      <c r="R3" s="11"/>
      <c r="S3" s="11"/>
      <c r="T3" s="11"/>
      <c r="U3" s="11"/>
      <c r="V3" s="11"/>
      <c r="W3" s="11"/>
      <c r="X3" s="11"/>
      <c r="Y3" s="11"/>
      <c r="Z3" s="11"/>
      <c r="AA3" s="11"/>
      <c r="AB3" s="11"/>
      <c r="AC3" s="11"/>
    </row>
    <row r="4" s="10" customFormat="true" ht="15" hidden="false" customHeight="true" outlineLevel="0" collapsed="false">
      <c r="A4" s="17"/>
      <c r="B4" s="17"/>
      <c r="C4" s="11"/>
      <c r="D4" s="18" t="s">
        <v>1</v>
      </c>
      <c r="E4" s="19"/>
      <c r="F4" s="20"/>
      <c r="G4" s="21" t="n">
        <v>210896</v>
      </c>
      <c r="H4" s="20"/>
      <c r="I4" s="22"/>
      <c r="J4" s="23" t="s">
        <v>2</v>
      </c>
      <c r="K4" s="11"/>
      <c r="L4" s="11"/>
      <c r="M4" s="11"/>
      <c r="N4" s="11" t="str">
        <f aca="false">IF($G$11="  F01  ","Tilgungsvariante fehlt",IF($G$11="  F 02  ","  Zinstermin fehlt !!!",IF($G$11="  f 03  ","   Kreditbetrag eintragen !!!",IF($G$11="  F 04  ","fehler 4",IF($G$11="  F 05  ","Fehler 5","")))))</f>
        <v/>
      </c>
      <c r="O4" s="24"/>
      <c r="P4" s="24"/>
      <c r="Q4" s="25"/>
      <c r="R4" s="24"/>
      <c r="S4" s="24"/>
      <c r="T4" s="24"/>
      <c r="U4" s="24"/>
      <c r="V4" s="24"/>
      <c r="W4" s="24"/>
      <c r="X4" s="24"/>
      <c r="Y4" s="24"/>
      <c r="Z4" s="24"/>
      <c r="AA4" s="24"/>
      <c r="AB4" s="24"/>
      <c r="AC4" s="24"/>
    </row>
    <row r="5" s="10" customFormat="true" ht="15" hidden="false" customHeight="true" outlineLevel="0" collapsed="false">
      <c r="A5" s="11"/>
      <c r="B5" s="11"/>
      <c r="C5" s="11"/>
      <c r="D5" s="26" t="s">
        <v>3</v>
      </c>
      <c r="E5" s="27"/>
      <c r="F5" s="28"/>
      <c r="G5" s="29" t="n">
        <v>3</v>
      </c>
      <c r="H5" s="28" t="s">
        <v>4</v>
      </c>
      <c r="I5" s="30"/>
      <c r="J5" s="31" t="n">
        <f aca="false">eff.zins</f>
        <v>3.04</v>
      </c>
      <c r="K5" s="11"/>
      <c r="L5" s="11"/>
      <c r="M5" s="11"/>
      <c r="N5" s="11"/>
      <c r="O5" s="24"/>
      <c r="P5" s="24"/>
      <c r="Q5" s="25"/>
      <c r="R5" s="24"/>
      <c r="S5" s="24"/>
      <c r="T5" s="24"/>
      <c r="U5" s="24"/>
      <c r="V5" s="24"/>
      <c r="W5" s="24"/>
      <c r="X5" s="24"/>
      <c r="Y5" s="24"/>
      <c r="Z5" s="24"/>
      <c r="AA5" s="24"/>
      <c r="AB5" s="24"/>
      <c r="AC5" s="24"/>
    </row>
    <row r="6" s="10" customFormat="true" ht="18" hidden="false" customHeight="true" outlineLevel="0" collapsed="false">
      <c r="A6" s="11"/>
      <c r="B6" s="11"/>
      <c r="C6" s="32" t="s">
        <v>5</v>
      </c>
      <c r="D6" s="33" t="s">
        <v>6</v>
      </c>
      <c r="E6" s="34"/>
      <c r="F6" s="35"/>
      <c r="G6" s="36" t="n">
        <v>2.69</v>
      </c>
      <c r="H6" s="35" t="s">
        <v>7</v>
      </c>
      <c r="I6" s="37"/>
      <c r="J6" s="38"/>
      <c r="K6" s="11"/>
      <c r="L6" s="11"/>
      <c r="M6" s="11"/>
      <c r="N6" s="11"/>
      <c r="O6" s="39"/>
      <c r="P6" s="24"/>
      <c r="Q6" s="25"/>
      <c r="R6" s="24"/>
      <c r="S6" s="24"/>
      <c r="T6" s="24"/>
      <c r="U6" s="24"/>
      <c r="V6" s="24"/>
      <c r="W6" s="24"/>
      <c r="X6" s="24"/>
      <c r="Y6" s="24"/>
      <c r="Z6" s="24"/>
      <c r="AA6" s="24"/>
      <c r="AB6" s="24"/>
      <c r="AC6" s="24"/>
    </row>
    <row r="7" s="49" customFormat="true" ht="18" hidden="false" customHeight="true" outlineLevel="0" collapsed="false">
      <c r="A7" s="40"/>
      <c r="B7" s="40"/>
      <c r="C7" s="32" t="s">
        <v>8</v>
      </c>
      <c r="D7" s="41" t="s">
        <v>9</v>
      </c>
      <c r="E7" s="42"/>
      <c r="F7" s="43"/>
      <c r="G7" s="44" t="n">
        <v>950</v>
      </c>
      <c r="H7" s="43" t="s">
        <v>10</v>
      </c>
      <c r="I7" s="45"/>
      <c r="J7" s="46"/>
      <c r="K7" s="11"/>
      <c r="L7" s="11"/>
      <c r="M7" s="40"/>
      <c r="N7" s="40"/>
      <c r="O7" s="47"/>
      <c r="P7" s="47"/>
      <c r="Q7" s="48"/>
      <c r="R7" s="47"/>
      <c r="S7" s="47"/>
      <c r="T7" s="47"/>
      <c r="U7" s="47"/>
      <c r="V7" s="47"/>
      <c r="W7" s="47"/>
      <c r="X7" s="47"/>
      <c r="Y7" s="47"/>
      <c r="Z7" s="47"/>
      <c r="AA7" s="47"/>
      <c r="AB7" s="47"/>
      <c r="AC7" s="47"/>
    </row>
    <row r="8" s="59" customFormat="true" ht="18" hidden="false" customHeight="true" outlineLevel="0" collapsed="false">
      <c r="A8" s="50"/>
      <c r="B8" s="50"/>
      <c r="C8" s="32" t="s">
        <v>8</v>
      </c>
      <c r="D8" s="51" t="s">
        <v>11</v>
      </c>
      <c r="E8" s="52"/>
      <c r="F8" s="53"/>
      <c r="G8" s="54" t="n">
        <v>359</v>
      </c>
      <c r="H8" s="53" t="s">
        <v>12</v>
      </c>
      <c r="I8" s="55"/>
      <c r="J8" s="56"/>
      <c r="K8" s="11"/>
      <c r="L8" s="11"/>
      <c r="M8" s="50"/>
      <c r="N8" s="50"/>
      <c r="O8" s="57"/>
      <c r="P8" s="57"/>
      <c r="Q8" s="58"/>
      <c r="R8" s="57"/>
      <c r="S8" s="57"/>
      <c r="T8" s="57"/>
      <c r="U8" s="57"/>
      <c r="V8" s="57"/>
      <c r="W8" s="57"/>
      <c r="X8" s="57"/>
      <c r="Y8" s="57"/>
      <c r="Z8" s="57"/>
      <c r="AA8" s="57"/>
      <c r="AB8" s="57"/>
      <c r="AC8" s="57"/>
    </row>
    <row r="9" s="10" customFormat="true" ht="15" hidden="false" customHeight="true" outlineLevel="0" collapsed="false">
      <c r="A9" s="11"/>
      <c r="B9" s="11"/>
      <c r="C9" s="11"/>
      <c r="D9" s="26" t="s">
        <v>13</v>
      </c>
      <c r="E9" s="27"/>
      <c r="F9" s="60"/>
      <c r="G9" s="61" t="s">
        <v>14</v>
      </c>
      <c r="H9" s="60" t="s">
        <v>15</v>
      </c>
      <c r="I9" s="30"/>
      <c r="J9" s="62"/>
      <c r="K9" s="11"/>
      <c r="L9" s="11"/>
      <c r="M9" s="11"/>
      <c r="N9" s="11"/>
      <c r="O9" s="24"/>
      <c r="P9" s="24"/>
      <c r="Q9" s="25"/>
      <c r="R9" s="24"/>
      <c r="S9" s="24"/>
      <c r="T9" s="24"/>
      <c r="U9" s="24"/>
      <c r="V9" s="24"/>
      <c r="W9" s="24"/>
      <c r="X9" s="24"/>
      <c r="Y9" s="24"/>
      <c r="Z9" s="24"/>
      <c r="AA9" s="24"/>
      <c r="AB9" s="24"/>
      <c r="AC9" s="24"/>
    </row>
    <row r="10" s="10" customFormat="true" ht="15" hidden="false" customHeight="true" outlineLevel="0" collapsed="false">
      <c r="A10" s="11"/>
      <c r="B10" s="11"/>
      <c r="C10" s="11"/>
      <c r="D10" s="63" t="s">
        <v>16</v>
      </c>
      <c r="E10" s="64"/>
      <c r="F10" s="65"/>
      <c r="G10" s="66" t="n">
        <v>43830</v>
      </c>
      <c r="H10" s="65"/>
      <c r="I10" s="67"/>
      <c r="J10" s="68"/>
      <c r="K10" s="11"/>
      <c r="L10" s="11"/>
      <c r="M10" s="11"/>
      <c r="N10" s="11"/>
      <c r="O10" s="24"/>
      <c r="P10" s="24"/>
      <c r="Q10" s="25"/>
      <c r="R10" s="24"/>
      <c r="S10" s="24"/>
      <c r="T10" s="24"/>
      <c r="U10" s="24"/>
      <c r="V10" s="24"/>
      <c r="W10" s="24"/>
      <c r="X10" s="24"/>
      <c r="Y10" s="24"/>
      <c r="Z10" s="24"/>
      <c r="AA10" s="24"/>
      <c r="AB10" s="24"/>
      <c r="AC10" s="24"/>
    </row>
    <row r="11" s="10" customFormat="true" ht="15" hidden="false" customHeight="false" outlineLevel="0" collapsed="false">
      <c r="A11" s="11"/>
      <c r="B11" s="11"/>
      <c r="C11" s="11"/>
      <c r="D11" s="69" t="str">
        <f aca="false">IF($G$7=Hitab!$G$11,"",IF(G9="m"," mtl. Betrag",IF(G9="Q"," quartl. Betrag",IF(G9="H"," halbjährl. Betrag"," jährl. Betrag"))))</f>
        <v> mtl. Betrag</v>
      </c>
      <c r="E11" s="70"/>
      <c r="F11" s="71"/>
      <c r="G11" s="72" t="n">
        <f aca="false">IF($G$7=Hitab!$G$11," ",Hitab!G11)</f>
        <v>999.998533333333</v>
      </c>
      <c r="H11" s="71" t="str">
        <f aca="false">IF($G$7=Hitab!$G$11,"", " EUR")</f>
        <v> EUR</v>
      </c>
      <c r="I11" s="73" t="str">
        <f aca="false">IFERROR(VLOOKUP(periodische_Zahlung,Hitab!O3:P7,2,FALSE()),"")</f>
        <v/>
      </c>
      <c r="J11" s="73"/>
      <c r="K11" s="11"/>
      <c r="L11" s="11"/>
      <c r="M11" s="11"/>
      <c r="N11" s="11"/>
      <c r="O11" s="24"/>
      <c r="P11" s="24"/>
      <c r="Q11" s="25"/>
      <c r="R11" s="24"/>
      <c r="S11" s="24"/>
      <c r="T11" s="24"/>
      <c r="U11" s="24"/>
      <c r="V11" s="24"/>
      <c r="W11" s="24"/>
      <c r="X11" s="24"/>
      <c r="Y11" s="24"/>
      <c r="Z11" s="24"/>
      <c r="AA11" s="24"/>
      <c r="AB11" s="24"/>
      <c r="AC11" s="24"/>
    </row>
    <row r="12" s="10" customFormat="true" ht="15" hidden="false" customHeight="false" outlineLevel="0" collapsed="false">
      <c r="A12" s="11"/>
      <c r="B12" s="11"/>
      <c r="C12" s="11"/>
      <c r="D12" s="74" t="str">
        <f aca="false">IF($G$8=Hitab!$G$12,"","Anz. Raten")</f>
        <v>Anz. Raten</v>
      </c>
      <c r="E12" s="75"/>
      <c r="F12" s="76"/>
      <c r="G12" s="77" t="n">
        <f aca="false">IF(Anz.Raten&gt;480,"Tilgung zu gering",Hitab!G12)</f>
        <v>301</v>
      </c>
      <c r="H12" s="76"/>
      <c r="I12" s="78" t="s">
        <v>17</v>
      </c>
      <c r="J12" s="79"/>
      <c r="K12" s="11"/>
      <c r="L12" s="11"/>
      <c r="M12" s="80" t="s">
        <v>18</v>
      </c>
      <c r="N12" s="81" t="s">
        <v>19</v>
      </c>
      <c r="O12" s="24"/>
      <c r="P12" s="24"/>
      <c r="Q12" s="25"/>
      <c r="R12" s="24"/>
      <c r="S12" s="24"/>
      <c r="T12" s="24"/>
      <c r="U12" s="24"/>
      <c r="V12" s="24"/>
      <c r="W12" s="24"/>
      <c r="X12" s="24"/>
      <c r="Y12" s="24"/>
      <c r="Z12" s="24"/>
      <c r="AA12" s="24"/>
      <c r="AB12" s="24"/>
      <c r="AC12" s="24"/>
    </row>
    <row r="13" s="10" customFormat="true" ht="15" hidden="false" customHeight="false" outlineLevel="0" collapsed="false">
      <c r="A13" s="11"/>
      <c r="B13" s="11"/>
      <c r="C13" s="11"/>
      <c r="D13" s="82"/>
      <c r="E13" s="75"/>
      <c r="F13" s="76"/>
      <c r="G13" s="77" t="n">
        <f aca="false">IFERROR(IF($H$7797=Hitab!$G$12,"",IF(ISNUMBER(INDEX(G:G,MATCH(MAX($F$18:$F$31),$F:$F))),"",MATCH(MAX($F$18:$F$31),$F:$F,0)-18)),"")</f>
        <v>13</v>
      </c>
      <c r="H13" s="76"/>
      <c r="I13" s="78" t="str">
        <f aca="false">IF(AND(ISNUMBER(G13),G12&lt;&gt;G13),"mit Sondertilgung","")</f>
        <v>mit Sondertilgung</v>
      </c>
      <c r="J13" s="79"/>
      <c r="K13" s="11"/>
      <c r="L13" s="11"/>
      <c r="M13" s="24"/>
      <c r="N13" s="11"/>
      <c r="O13" s="24"/>
      <c r="P13" s="24"/>
      <c r="Q13" s="25"/>
      <c r="R13" s="24"/>
      <c r="S13" s="24"/>
      <c r="T13" s="24"/>
      <c r="U13" s="24"/>
      <c r="V13" s="24"/>
      <c r="W13" s="24"/>
      <c r="X13" s="24"/>
      <c r="Y13" s="24"/>
      <c r="Z13" s="24"/>
      <c r="AA13" s="24"/>
      <c r="AB13" s="24"/>
      <c r="AC13" s="24"/>
    </row>
    <row r="14" s="10" customFormat="true" ht="15" hidden="false" customHeight="false" outlineLevel="0" collapsed="false">
      <c r="A14" s="11"/>
      <c r="B14" s="11"/>
      <c r="C14" s="11"/>
      <c r="D14" s="83" t="s">
        <v>20</v>
      </c>
      <c r="E14" s="84"/>
      <c r="F14" s="85"/>
      <c r="G14" s="86" t="n">
        <f aca="false">IF(AND(MAX($F$19:$F$31)&gt;G10,ISNUMBER(G13)),MAX($F$19:$F$31),letzte_Zahlung)</f>
        <v>52962</v>
      </c>
      <c r="H14" s="85"/>
      <c r="I14" s="87" t="s">
        <v>21</v>
      </c>
      <c r="J14" s="88"/>
      <c r="K14" s="11"/>
      <c r="L14" s="89" t="n">
        <f aca="false">IF(Tilgungsverlauf_rechnen="J",LARGE(L18:L999,1),N14-G4)</f>
        <v>75680.9493409844</v>
      </c>
      <c r="M14" s="90" t="n">
        <f aca="false">N14-L14</f>
        <v>116318.769059015</v>
      </c>
      <c r="N14" s="90" t="n">
        <f aca="false">IF(Tilgungsverlauf_rechnen="J",LARGE(N18:N999,1),Hitab!G13)</f>
        <v>191999.7184</v>
      </c>
      <c r="O14" s="91"/>
      <c r="P14" s="24"/>
      <c r="Q14" s="90" t="str">
        <f aca="false">IF(SUM(Q18:Q31)&gt;0,SUM(Q18:Q31),"")</f>
        <v/>
      </c>
      <c r="R14" s="24"/>
      <c r="S14" s="24"/>
      <c r="T14" s="24"/>
      <c r="U14" s="24"/>
      <c r="V14" s="24"/>
      <c r="W14" s="24"/>
      <c r="X14" s="24"/>
      <c r="Y14" s="24"/>
      <c r="Z14" s="24"/>
      <c r="AA14" s="24"/>
      <c r="AB14" s="24"/>
      <c r="AC14" s="24"/>
    </row>
    <row r="15" s="10" customFormat="true" ht="5.25" hidden="false" customHeight="true" outlineLevel="0" collapsed="false">
      <c r="A15" s="11"/>
      <c r="B15" s="11"/>
      <c r="C15" s="92"/>
      <c r="D15" s="11"/>
      <c r="E15" s="92"/>
      <c r="F15" s="93"/>
      <c r="G15" s="92"/>
      <c r="H15" s="92"/>
      <c r="I15" s="92"/>
      <c r="J15" s="92"/>
      <c r="K15" s="92"/>
      <c r="L15" s="94"/>
      <c r="M15" s="95"/>
      <c r="N15" s="95"/>
      <c r="O15" s="96"/>
      <c r="P15" s="97"/>
      <c r="Q15" s="95"/>
      <c r="R15" s="24"/>
      <c r="S15" s="24"/>
      <c r="T15" s="24"/>
      <c r="U15" s="24"/>
      <c r="V15" s="24"/>
      <c r="W15" s="24"/>
      <c r="X15" s="24"/>
      <c r="Y15" s="24"/>
      <c r="Z15" s="24"/>
      <c r="AA15" s="24"/>
      <c r="AB15" s="24"/>
      <c r="AC15" s="24"/>
    </row>
    <row r="16" s="10" customFormat="true" ht="4.5" hidden="false" customHeight="true" outlineLevel="0" collapsed="false">
      <c r="A16" s="98"/>
      <c r="B16" s="98"/>
      <c r="C16" s="99"/>
      <c r="D16" s="98"/>
      <c r="E16" s="99"/>
      <c r="F16" s="100"/>
      <c r="G16" s="99"/>
      <c r="H16" s="99"/>
      <c r="I16" s="99"/>
      <c r="J16" s="99"/>
      <c r="K16" s="99"/>
      <c r="L16" s="99"/>
      <c r="M16" s="98"/>
      <c r="N16" s="98"/>
      <c r="O16" s="101"/>
      <c r="P16" s="102"/>
      <c r="Q16" s="103"/>
      <c r="R16" s="101"/>
      <c r="S16" s="101"/>
      <c r="T16" s="101"/>
      <c r="U16" s="101"/>
      <c r="V16" s="101"/>
      <c r="W16" s="101"/>
      <c r="X16" s="101"/>
      <c r="Y16" s="101"/>
      <c r="Z16" s="101"/>
      <c r="AA16" s="101"/>
      <c r="AB16" s="101"/>
      <c r="AC16" s="101"/>
    </row>
    <row r="17" s="115" customFormat="true" ht="15.75" hidden="false" customHeight="true" outlineLevel="0" collapsed="false">
      <c r="A17" s="104"/>
      <c r="B17" s="104"/>
      <c r="C17" s="105"/>
      <c r="D17" s="106"/>
      <c r="E17" s="107" t="s">
        <v>22</v>
      </c>
      <c r="F17" s="108" t="str">
        <f aca="false">IF($G$10&lt;&gt;"","Zahlungstermine","")</f>
        <v>Zahlungstermine</v>
      </c>
      <c r="G17" s="109" t="s">
        <v>23</v>
      </c>
      <c r="H17" s="110" t="s">
        <v>24</v>
      </c>
      <c r="I17" s="110" t="s">
        <v>25</v>
      </c>
      <c r="J17" s="110" t="s">
        <v>26</v>
      </c>
      <c r="K17" s="110"/>
      <c r="L17" s="109" t="s">
        <v>27</v>
      </c>
      <c r="M17" s="109" t="s">
        <v>28</v>
      </c>
      <c r="N17" s="109" t="s">
        <v>29</v>
      </c>
      <c r="O17" s="111"/>
      <c r="P17" s="112"/>
      <c r="Q17" s="113" t="s">
        <v>30</v>
      </c>
      <c r="R17" s="113"/>
      <c r="S17" s="114"/>
      <c r="T17" s="114"/>
      <c r="U17" s="114"/>
      <c r="V17" s="114"/>
      <c r="W17" s="114"/>
      <c r="X17" s="114"/>
      <c r="Y17" s="114"/>
      <c r="Z17" s="114"/>
      <c r="AA17" s="114"/>
      <c r="AB17" s="114"/>
      <c r="AC17" s="114"/>
    </row>
    <row r="18" s="10" customFormat="true" ht="11.25" hidden="false" customHeight="true" outlineLevel="0" collapsed="false">
      <c r="A18" s="116"/>
      <c r="B18" s="116"/>
      <c r="C18" s="117"/>
      <c r="D18" s="116"/>
      <c r="E18" s="117"/>
      <c r="F18" s="118"/>
      <c r="G18" s="119" t="n">
        <f aca="false">IF(Tilgungsverlauf_rechnen="J",SUM(G4)," ")</f>
        <v>210896</v>
      </c>
      <c r="H18" s="120"/>
      <c r="I18" s="119"/>
      <c r="J18" s="119"/>
      <c r="K18" s="119"/>
      <c r="L18" s="120"/>
      <c r="M18" s="120"/>
      <c r="N18" s="117"/>
      <c r="O18" s="120"/>
      <c r="P18" s="121"/>
      <c r="Q18" s="122"/>
      <c r="R18" s="121"/>
      <c r="S18" s="121"/>
      <c r="T18" s="121"/>
      <c r="U18" s="121"/>
      <c r="V18" s="121"/>
      <c r="W18" s="121"/>
      <c r="X18" s="121"/>
      <c r="Y18" s="121"/>
      <c r="Z18" s="121"/>
      <c r="AA18" s="121"/>
      <c r="AB18" s="121"/>
      <c r="AC18" s="121"/>
    </row>
    <row r="19" s="10" customFormat="true" ht="11.25" hidden="false" customHeight="true" outlineLevel="0" collapsed="false">
      <c r="A19" s="116"/>
      <c r="B19" s="116" t="n">
        <f aca="false">zeige.Jahr</f>
        <v>0</v>
      </c>
      <c r="C19" s="117" t="str">
        <f aca="false">zeige.Jahrtxt</f>
        <v> </v>
      </c>
      <c r="D19" s="116" t="n">
        <f aca="false">zeige.Monat</f>
        <v>1</v>
      </c>
      <c r="E19" s="117" t="str">
        <f aca="false">zeige.Monattxt</f>
        <v> Monat</v>
      </c>
      <c r="F19" s="123" t="n">
        <f aca="false">rechne.Zahlungstermine</f>
        <v>43830</v>
      </c>
      <c r="G19" s="119" t="n">
        <f aca="false">rechne.Restkredit</f>
        <v>210423.241466667</v>
      </c>
      <c r="H19" s="119" t="n">
        <f aca="false">rechne.Zinsen</f>
        <v>527.24</v>
      </c>
      <c r="I19" s="119" t="n">
        <f aca="false">rechne.Tilgung</f>
        <v>472.758533333333</v>
      </c>
      <c r="J19" s="119" t="n">
        <f aca="false">rechne.Betrag</f>
        <v>999.998533333333</v>
      </c>
      <c r="K19" s="119"/>
      <c r="L19" s="119" t="n">
        <f aca="false">rechne.GesZins</f>
        <v>527.24</v>
      </c>
      <c r="M19" s="119" t="n">
        <f aca="false">rechne.GesTilg</f>
        <v>472.758533333333</v>
      </c>
      <c r="N19" s="119" t="n">
        <f aca="false">rechne.GesAufwand</f>
        <v>999.998533333333</v>
      </c>
      <c r="O19" s="120"/>
      <c r="P19" s="117" t="str">
        <f aca="false">rechne.AnzMonate</f>
        <v> </v>
      </c>
      <c r="Q19" s="124"/>
      <c r="R19" s="125"/>
      <c r="S19" s="125"/>
      <c r="T19" s="125"/>
      <c r="U19" s="125"/>
      <c r="V19" s="125"/>
      <c r="W19" s="125"/>
      <c r="X19" s="125"/>
      <c r="Y19" s="125"/>
      <c r="Z19" s="125"/>
      <c r="AA19" s="125"/>
      <c r="AB19" s="125"/>
      <c r="AC19" s="125"/>
    </row>
    <row r="20" s="10" customFormat="true" ht="11.25" hidden="false" customHeight="true" outlineLevel="0" collapsed="false">
      <c r="A20" s="116"/>
      <c r="B20" s="116" t="n">
        <f aca="false">zeige.Jahr</f>
        <v>0</v>
      </c>
      <c r="C20" s="117" t="str">
        <f aca="false">zeige.Jahrtxt</f>
        <v> </v>
      </c>
      <c r="D20" s="116" t="n">
        <f aca="false">zeige.Monat</f>
        <v>2</v>
      </c>
      <c r="E20" s="117" t="str">
        <f aca="false">zeige.Monattxt</f>
        <v> Monate</v>
      </c>
      <c r="F20" s="123" t="n">
        <f aca="false">rechne.Zahlungstermine</f>
        <v>43861</v>
      </c>
      <c r="G20" s="119" t="str">
        <f aca="false">rechne.Restkredit</f>
        <v> </v>
      </c>
      <c r="H20" s="119" t="str">
        <f aca="false">rechne.Zinsen</f>
        <v> </v>
      </c>
      <c r="I20" s="119" t="str">
        <f aca="false">rechne.Tilgung</f>
        <v> </v>
      </c>
      <c r="J20" s="119" t="n">
        <f aca="false">rechne.Betrag</f>
        <v>999.998533333333</v>
      </c>
      <c r="K20" s="119"/>
      <c r="L20" s="119" t="str">
        <f aca="false">rechne.GesZins</f>
        <v> </v>
      </c>
      <c r="M20" s="119" t="str">
        <f aca="false">rechne.GesTilg</f>
        <v> </v>
      </c>
      <c r="N20" s="119" t="n">
        <f aca="false">rechne.GesAufwand</f>
        <v>0</v>
      </c>
      <c r="O20" s="120"/>
      <c r="P20" s="117" t="str">
        <f aca="false">rechne.AnzMonate</f>
        <v> </v>
      </c>
      <c r="Q20" s="124"/>
      <c r="R20" s="121"/>
      <c r="S20" s="121"/>
      <c r="T20" s="121"/>
      <c r="U20" s="121"/>
      <c r="V20" s="121"/>
      <c r="W20" s="121"/>
      <c r="X20" s="121"/>
      <c r="Y20" s="121"/>
      <c r="Z20" s="121"/>
      <c r="AA20" s="121"/>
      <c r="AB20" s="121"/>
      <c r="AC20" s="121"/>
    </row>
    <row r="21" s="10" customFormat="true" ht="11.25" hidden="false" customHeight="true" outlineLevel="0" collapsed="false">
      <c r="A21" s="116"/>
      <c r="B21" s="116" t="n">
        <f aca="false">zeige.Jahr</f>
        <v>0</v>
      </c>
      <c r="C21" s="117" t="str">
        <f aca="false">zeige.Jahrtxt</f>
        <v> </v>
      </c>
      <c r="D21" s="116" t="n">
        <f aca="false">zeige.Monat</f>
        <v>3</v>
      </c>
      <c r="E21" s="117" t="str">
        <f aca="false">zeige.Monattxt</f>
        <v> Monate</v>
      </c>
      <c r="F21" s="123" t="n">
        <f aca="false">rechne.Zahlungstermine</f>
        <v>43890</v>
      </c>
      <c r="G21" s="119" t="str">
        <f aca="false">rechne.Restkredit</f>
        <v> </v>
      </c>
      <c r="H21" s="119" t="str">
        <f aca="false">rechne.Zinsen</f>
        <v> </v>
      </c>
      <c r="I21" s="119" t="str">
        <f aca="false">rechne.Tilgung</f>
        <v> </v>
      </c>
      <c r="J21" s="119" t="str">
        <f aca="false">rechne.Betrag</f>
        <v> </v>
      </c>
      <c r="K21" s="119"/>
      <c r="L21" s="119" t="str">
        <f aca="false">rechne.GesZins</f>
        <v> </v>
      </c>
      <c r="M21" s="119" t="str">
        <f aca="false">rechne.GesTilg</f>
        <v> </v>
      </c>
      <c r="N21" s="119" t="str">
        <f aca="false">rechne.GesAufwand</f>
        <v> </v>
      </c>
      <c r="O21" s="120"/>
      <c r="P21" s="117" t="str">
        <f aca="false">rechne.AnzMonate</f>
        <v> </v>
      </c>
      <c r="Q21" s="124"/>
      <c r="R21" s="121"/>
      <c r="S21" s="121"/>
      <c r="T21" s="121"/>
      <c r="U21" s="121"/>
      <c r="V21" s="121"/>
      <c r="W21" s="121"/>
      <c r="X21" s="121"/>
      <c r="Y21" s="121"/>
      <c r="Z21" s="121"/>
      <c r="AA21" s="121"/>
      <c r="AB21" s="121"/>
      <c r="AC21" s="121"/>
    </row>
    <row r="22" s="10" customFormat="true" ht="11.25" hidden="false" customHeight="true" outlineLevel="0" collapsed="false">
      <c r="A22" s="116"/>
      <c r="B22" s="116" t="n">
        <f aca="false">zeige.Jahr</f>
        <v>0</v>
      </c>
      <c r="C22" s="117" t="str">
        <f aca="false">zeige.Jahrtxt</f>
        <v> </v>
      </c>
      <c r="D22" s="116" t="n">
        <f aca="false">zeige.Monat</f>
        <v>4</v>
      </c>
      <c r="E22" s="117" t="str">
        <f aca="false">zeige.Monattxt</f>
        <v> Monate</v>
      </c>
      <c r="F22" s="123" t="n">
        <f aca="false">rechne.Zahlungstermine</f>
        <v>43921</v>
      </c>
      <c r="G22" s="119" t="str">
        <f aca="false">rechne.Restkredit</f>
        <v> </v>
      </c>
      <c r="H22" s="119" t="str">
        <f aca="false">rechne.Zinsen</f>
        <v> </v>
      </c>
      <c r="I22" s="119" t="str">
        <f aca="false">rechne.Tilgung</f>
        <v> </v>
      </c>
      <c r="J22" s="119" t="str">
        <f aca="false">rechne.Betrag</f>
        <v> </v>
      </c>
      <c r="K22" s="119"/>
      <c r="L22" s="119" t="str">
        <f aca="false">rechne.GesZins</f>
        <v> </v>
      </c>
      <c r="M22" s="119" t="str">
        <f aca="false">rechne.GesTilg</f>
        <v> </v>
      </c>
      <c r="N22" s="119" t="str">
        <f aca="false">rechne.GesAufwand</f>
        <v> </v>
      </c>
      <c r="O22" s="120"/>
      <c r="P22" s="117" t="str">
        <f aca="false">rechne.AnzMonate</f>
        <v> </v>
      </c>
      <c r="Q22" s="124"/>
      <c r="R22" s="121"/>
      <c r="S22" s="121"/>
      <c r="T22" s="121"/>
      <c r="U22" s="121"/>
      <c r="V22" s="121"/>
      <c r="W22" s="121"/>
      <c r="X22" s="121"/>
      <c r="Y22" s="121"/>
      <c r="Z22" s="121"/>
      <c r="AA22" s="121"/>
      <c r="AB22" s="121"/>
      <c r="AC22" s="121"/>
    </row>
    <row r="23" s="10" customFormat="true" ht="11.25" hidden="false" customHeight="true" outlineLevel="0" collapsed="false">
      <c r="A23" s="116"/>
      <c r="B23" s="116" t="n">
        <f aca="false">zeige.Jahr</f>
        <v>0</v>
      </c>
      <c r="C23" s="117" t="str">
        <f aca="false">zeige.Jahrtxt</f>
        <v> </v>
      </c>
      <c r="D23" s="116" t="n">
        <f aca="false">zeige.Monat</f>
        <v>5</v>
      </c>
      <c r="E23" s="117" t="str">
        <f aca="false">zeige.Monattxt</f>
        <v> Monate</v>
      </c>
      <c r="F23" s="123" t="n">
        <f aca="false">rechne.Zahlungstermine</f>
        <v>43951</v>
      </c>
      <c r="G23" s="119" t="n">
        <f aca="false">rechne.Restkredit</f>
        <v>208520.358785639</v>
      </c>
      <c r="H23" s="119" t="str">
        <f aca="false">rechne.Zinsen</f>
        <v> </v>
      </c>
      <c r="I23" s="119" t="str">
        <f aca="false">rechne.Tilgung</f>
        <v> </v>
      </c>
      <c r="J23" s="119" t="str">
        <f aca="false">rechne.Betrag</f>
        <v> </v>
      </c>
      <c r="K23" s="119"/>
      <c r="L23" s="119" t="str">
        <f aca="false">rechne.GesZins</f>
        <v> </v>
      </c>
      <c r="M23" s="119" t="str">
        <f aca="false">rechne.GesTilg</f>
        <v> </v>
      </c>
      <c r="N23" s="119" t="str">
        <f aca="false">rechne.GesAufwand</f>
        <v> </v>
      </c>
      <c r="O23" s="120"/>
      <c r="P23" s="117" t="str">
        <f aca="false">rechne.AnzMonate</f>
        <v> </v>
      </c>
      <c r="Q23" s="124"/>
      <c r="R23" s="121"/>
      <c r="S23" s="121"/>
      <c r="T23" s="121"/>
      <c r="U23" s="121"/>
      <c r="V23" s="121"/>
      <c r="W23" s="121"/>
      <c r="X23" s="121"/>
      <c r="Y23" s="121"/>
      <c r="Z23" s="121"/>
      <c r="AA23" s="121"/>
      <c r="AB23" s="121"/>
      <c r="AC23" s="121"/>
    </row>
    <row r="24" s="10" customFormat="true" ht="11.25" hidden="false" customHeight="true" outlineLevel="0" collapsed="false">
      <c r="A24" s="116"/>
      <c r="B24" s="116" t="n">
        <f aca="false">zeige.Jahr</f>
        <v>0</v>
      </c>
      <c r="C24" s="117" t="str">
        <f aca="false">zeige.Jahrtxt</f>
        <v> </v>
      </c>
      <c r="D24" s="116" t="n">
        <f aca="false">zeige.Monat</f>
        <v>6</v>
      </c>
      <c r="E24" s="117" t="str">
        <f aca="false">zeige.Monattxt</f>
        <v> Monate</v>
      </c>
      <c r="F24" s="123" t="n">
        <f aca="false">rechne.Zahlungstermine</f>
        <v>43982</v>
      </c>
      <c r="G24" s="119" t="str">
        <f aca="false">rechne.Restkredit</f>
        <v> </v>
      </c>
      <c r="H24" s="119" t="str">
        <f aca="false">rechne.Zinsen</f>
        <v> </v>
      </c>
      <c r="I24" s="119" t="str">
        <f aca="false">rechne.Tilgung</f>
        <v> </v>
      </c>
      <c r="J24" s="119" t="str">
        <f aca="false">rechne.Betrag</f>
        <v> </v>
      </c>
      <c r="K24" s="119"/>
      <c r="L24" s="119" t="str">
        <f aca="false">rechne.GesZins</f>
        <v> </v>
      </c>
      <c r="M24" s="119" t="str">
        <f aca="false">rechne.GesTilg</f>
        <v> </v>
      </c>
      <c r="N24" s="119" t="str">
        <f aca="false">rechne.GesAufwand</f>
        <v> </v>
      </c>
      <c r="O24" s="120"/>
      <c r="P24" s="117" t="str">
        <f aca="false">rechne.AnzMonate</f>
        <v> </v>
      </c>
      <c r="Q24" s="124"/>
      <c r="R24" s="121"/>
      <c r="S24" s="121"/>
      <c r="T24" s="121"/>
      <c r="U24" s="121"/>
      <c r="V24" s="121"/>
      <c r="W24" s="121"/>
      <c r="X24" s="121"/>
      <c r="Y24" s="121"/>
      <c r="Z24" s="121"/>
      <c r="AA24" s="121"/>
      <c r="AB24" s="121"/>
      <c r="AC24" s="121"/>
    </row>
    <row r="25" s="10" customFormat="true" ht="11.25" hidden="false" customHeight="true" outlineLevel="0" collapsed="false">
      <c r="A25" s="116"/>
      <c r="B25" s="116" t="n">
        <f aca="false">zeige.Jahr</f>
        <v>0</v>
      </c>
      <c r="C25" s="117" t="str">
        <f aca="false">zeige.Jahrtxt</f>
        <v> </v>
      </c>
      <c r="D25" s="116" t="n">
        <f aca="false">zeige.Monat</f>
        <v>7</v>
      </c>
      <c r="E25" s="117" t="str">
        <f aca="false">zeige.Monattxt</f>
        <v> Monate</v>
      </c>
      <c r="F25" s="123" t="n">
        <f aca="false">rechne.Zahlungstermine</f>
        <v>44012</v>
      </c>
      <c r="G25" s="119" t="str">
        <f aca="false">rechne.Restkredit</f>
        <v> </v>
      </c>
      <c r="H25" s="119" t="str">
        <f aca="false">rechne.Zinsen</f>
        <v> </v>
      </c>
      <c r="I25" s="119" t="str">
        <f aca="false">rechne.Tilgung</f>
        <v> </v>
      </c>
      <c r="J25" s="119" t="str">
        <f aca="false">rechne.Betrag</f>
        <v> </v>
      </c>
      <c r="K25" s="119"/>
      <c r="L25" s="119" t="str">
        <f aca="false">rechne.GesZins</f>
        <v> </v>
      </c>
      <c r="M25" s="119" t="str">
        <f aca="false">rechne.GesTilg</f>
        <v> </v>
      </c>
      <c r="N25" s="119" t="str">
        <f aca="false">rechne.GesAufwand</f>
        <v> </v>
      </c>
      <c r="O25" s="120"/>
      <c r="P25" s="117" t="str">
        <f aca="false">rechne.AnzMonate</f>
        <v> </v>
      </c>
      <c r="Q25" s="124"/>
      <c r="R25" s="121"/>
      <c r="S25" s="121"/>
      <c r="T25" s="121"/>
      <c r="U25" s="121"/>
      <c r="V25" s="121"/>
      <c r="W25" s="121"/>
      <c r="X25" s="121"/>
      <c r="Y25" s="121"/>
      <c r="Z25" s="121"/>
      <c r="AA25" s="121"/>
      <c r="AB25" s="121"/>
      <c r="AC25" s="121"/>
    </row>
    <row r="26" s="10" customFormat="true" ht="11.25" hidden="false" customHeight="true" outlineLevel="0" collapsed="false">
      <c r="A26" s="116"/>
      <c r="B26" s="116" t="n">
        <f aca="false">zeige.Jahr</f>
        <v>0</v>
      </c>
      <c r="C26" s="117" t="str">
        <f aca="false">zeige.Jahrtxt</f>
        <v> </v>
      </c>
      <c r="D26" s="116" t="n">
        <f aca="false">zeige.Monat</f>
        <v>8</v>
      </c>
      <c r="E26" s="117" t="str">
        <f aca="false">zeige.Monattxt</f>
        <v> Monate</v>
      </c>
      <c r="F26" s="123" t="n">
        <f aca="false">rechne.Zahlungstermine</f>
        <v>44043</v>
      </c>
      <c r="G26" s="119" t="str">
        <f aca="false">rechne.Restkredit</f>
        <v> </v>
      </c>
      <c r="H26" s="119" t="str">
        <f aca="false">rechne.Zinsen</f>
        <v> </v>
      </c>
      <c r="I26" s="119" t="str">
        <f aca="false">rechne.Tilgung</f>
        <v> </v>
      </c>
      <c r="J26" s="119" t="str">
        <f aca="false">rechne.Betrag</f>
        <v> </v>
      </c>
      <c r="K26" s="119"/>
      <c r="L26" s="119" t="str">
        <f aca="false">rechne.GesZins</f>
        <v> </v>
      </c>
      <c r="M26" s="119" t="str">
        <f aca="false">rechne.GesTilg</f>
        <v> </v>
      </c>
      <c r="N26" s="119" t="str">
        <f aca="false">rechne.GesAufwand</f>
        <v> </v>
      </c>
      <c r="O26" s="120"/>
      <c r="P26" s="117" t="str">
        <f aca="false">rechne.AnzMonate</f>
        <v> </v>
      </c>
      <c r="Q26" s="124"/>
      <c r="R26" s="121"/>
      <c r="S26" s="121"/>
      <c r="T26" s="121"/>
      <c r="U26" s="121"/>
      <c r="V26" s="121"/>
      <c r="W26" s="121"/>
      <c r="X26" s="121"/>
      <c r="Y26" s="121"/>
      <c r="Z26" s="121"/>
      <c r="AA26" s="121"/>
      <c r="AB26" s="121"/>
      <c r="AC26" s="121"/>
    </row>
    <row r="27" s="10" customFormat="true" ht="11.25" hidden="false" customHeight="true" outlineLevel="0" collapsed="false">
      <c r="A27" s="116"/>
      <c r="B27" s="116" t="n">
        <f aca="false">zeige.Jahr</f>
        <v>0</v>
      </c>
      <c r="C27" s="117" t="str">
        <f aca="false">zeige.Jahrtxt</f>
        <v> </v>
      </c>
      <c r="D27" s="116" t="n">
        <f aca="false">zeige.Monat</f>
        <v>9</v>
      </c>
      <c r="E27" s="117" t="str">
        <f aca="false">zeige.Monattxt</f>
        <v> Monate</v>
      </c>
      <c r="F27" s="123" t="n">
        <f aca="false">rechne.Zahlungstermine</f>
        <v>44074</v>
      </c>
      <c r="G27" s="119" t="str">
        <f aca="false">rechne.Restkredit</f>
        <v> </v>
      </c>
      <c r="H27" s="119" t="str">
        <f aca="false">rechne.Zinsen</f>
        <v> </v>
      </c>
      <c r="I27" s="119" t="str">
        <f aca="false">rechne.Tilgung</f>
        <v> </v>
      </c>
      <c r="J27" s="119" t="str">
        <f aca="false">rechne.Betrag</f>
        <v> </v>
      </c>
      <c r="K27" s="119"/>
      <c r="L27" s="119" t="str">
        <f aca="false">rechne.GesZins</f>
        <v> </v>
      </c>
      <c r="M27" s="119" t="str">
        <f aca="false">rechne.GesTilg</f>
        <v> </v>
      </c>
      <c r="N27" s="119" t="str">
        <f aca="false">rechne.GesAufwand</f>
        <v> </v>
      </c>
      <c r="O27" s="120"/>
      <c r="P27" s="117" t="str">
        <f aca="false">rechne.AnzMonate</f>
        <v> </v>
      </c>
      <c r="Q27" s="124"/>
      <c r="R27" s="121"/>
      <c r="S27" s="121"/>
      <c r="T27" s="121"/>
      <c r="U27" s="121"/>
      <c r="V27" s="121"/>
      <c r="W27" s="121"/>
      <c r="X27" s="121"/>
      <c r="Y27" s="121"/>
      <c r="Z27" s="121"/>
      <c r="AA27" s="121"/>
      <c r="AB27" s="121"/>
      <c r="AC27" s="121"/>
    </row>
    <row r="28" s="10" customFormat="true" ht="11.25" hidden="false" customHeight="true" outlineLevel="0" collapsed="false">
      <c r="A28" s="116"/>
      <c r="B28" s="116" t="n">
        <f aca="false">zeige.Jahr</f>
        <v>0</v>
      </c>
      <c r="C28" s="117" t="str">
        <f aca="false">zeige.Jahrtxt</f>
        <v> </v>
      </c>
      <c r="D28" s="116" t="n">
        <f aca="false">zeige.Monat</f>
        <v>10</v>
      </c>
      <c r="E28" s="117" t="str">
        <f aca="false">zeige.Monattxt</f>
        <v> Monate</v>
      </c>
      <c r="F28" s="123" t="n">
        <f aca="false">rechne.Zahlungstermine</f>
        <v>44104</v>
      </c>
      <c r="G28" s="119" t="str">
        <f aca="false">rechne.Restkredit</f>
        <v> </v>
      </c>
      <c r="H28" s="119" t="str">
        <f aca="false">rechne.Zinsen</f>
        <v> </v>
      </c>
      <c r="I28" s="119" t="str">
        <f aca="false">rechne.Tilgung</f>
        <v> </v>
      </c>
      <c r="J28" s="119" t="str">
        <f aca="false">rechne.Betrag</f>
        <v> </v>
      </c>
      <c r="K28" s="119"/>
      <c r="L28" s="119" t="str">
        <f aca="false">rechne.GesZins</f>
        <v> </v>
      </c>
      <c r="M28" s="119" t="str">
        <f aca="false">rechne.GesTilg</f>
        <v> </v>
      </c>
      <c r="N28" s="119" t="str">
        <f aca="false">rechne.GesAufwand</f>
        <v> </v>
      </c>
      <c r="O28" s="120"/>
      <c r="P28" s="117" t="str">
        <f aca="false">rechne.AnzMonate</f>
        <v> </v>
      </c>
      <c r="Q28" s="124"/>
      <c r="R28" s="121"/>
      <c r="S28" s="121"/>
      <c r="T28" s="121"/>
      <c r="U28" s="121"/>
      <c r="V28" s="121"/>
      <c r="W28" s="121"/>
      <c r="X28" s="121"/>
      <c r="Y28" s="121"/>
      <c r="Z28" s="121"/>
      <c r="AA28" s="121"/>
      <c r="AB28" s="121"/>
      <c r="AC28" s="121"/>
    </row>
    <row r="29" s="10" customFormat="true" ht="11.25" hidden="false" customHeight="true" outlineLevel="0" collapsed="false">
      <c r="A29" s="116"/>
      <c r="B29" s="116" t="n">
        <f aca="false">zeige.Jahr</f>
        <v>0</v>
      </c>
      <c r="C29" s="117" t="str">
        <f aca="false">zeige.Jahrtxt</f>
        <v> </v>
      </c>
      <c r="D29" s="116" t="n">
        <f aca="false">zeige.Monat</f>
        <v>11</v>
      </c>
      <c r="E29" s="117" t="str">
        <f aca="false">zeige.Monattxt</f>
        <v> Monate</v>
      </c>
      <c r="F29" s="123" t="n">
        <f aca="false">rechne.Zahlungstermine</f>
        <v>44135</v>
      </c>
      <c r="G29" s="119" t="str">
        <f aca="false">rechne.Restkredit</f>
        <v> </v>
      </c>
      <c r="H29" s="119" t="str">
        <f aca="false">rechne.Zinsen</f>
        <v> </v>
      </c>
      <c r="I29" s="119" t="str">
        <f aca="false">rechne.Tilgung</f>
        <v> </v>
      </c>
      <c r="J29" s="119" t="str">
        <f aca="false">rechne.Betrag</f>
        <v> </v>
      </c>
      <c r="K29" s="119"/>
      <c r="L29" s="119" t="str">
        <f aca="false">rechne.GesZins</f>
        <v> </v>
      </c>
      <c r="M29" s="119" t="str">
        <f aca="false">rechne.GesTilg</f>
        <v> </v>
      </c>
      <c r="N29" s="119" t="str">
        <f aca="false">rechne.GesAufwand</f>
        <v> </v>
      </c>
      <c r="O29" s="120"/>
      <c r="P29" s="117" t="str">
        <f aca="false">rechne.AnzMonate</f>
        <v> </v>
      </c>
      <c r="Q29" s="124"/>
      <c r="R29" s="121"/>
      <c r="S29" s="121"/>
      <c r="T29" s="121"/>
      <c r="U29" s="121"/>
      <c r="V29" s="121"/>
      <c r="W29" s="121"/>
      <c r="X29" s="121"/>
      <c r="Y29" s="121"/>
      <c r="Z29" s="121"/>
      <c r="AA29" s="121"/>
      <c r="AB29" s="121"/>
      <c r="AC29" s="121"/>
    </row>
    <row r="30" s="10" customFormat="true" ht="11.25" hidden="false" customHeight="true" outlineLevel="0" collapsed="false">
      <c r="A30" s="116"/>
      <c r="B30" s="116" t="n">
        <f aca="false">zeige.Jahr</f>
        <v>1</v>
      </c>
      <c r="C30" s="117" t="str">
        <f aca="false">zeige.Jahrtxt</f>
        <v> Jahr</v>
      </c>
      <c r="D30" s="116" t="n">
        <f aca="false">zeige.Monat</f>
        <v>0</v>
      </c>
      <c r="E30" s="117" t="str">
        <f aca="false">zeige.Monattxt</f>
        <v> </v>
      </c>
      <c r="F30" s="123" t="n">
        <f aca="false">rechne.Zahlungstermine</f>
        <v>44165</v>
      </c>
      <c r="G30" s="119" t="n">
        <f aca="false">rechne.Restkredit</f>
        <v>205144.238727856</v>
      </c>
      <c r="H30" s="119" t="str">
        <f aca="false">rechne.Zinsen</f>
        <v> </v>
      </c>
      <c r="I30" s="119" t="str">
        <f aca="false">rechne.Tilgung</f>
        <v> </v>
      </c>
      <c r="J30" s="119" t="str">
        <f aca="false">rechne.Betrag</f>
        <v> </v>
      </c>
      <c r="K30" s="119"/>
      <c r="L30" s="119" t="str">
        <f aca="false">rechne.GesZins</f>
        <v> </v>
      </c>
      <c r="M30" s="119" t="str">
        <f aca="false">rechne.GesTilg</f>
        <v> </v>
      </c>
      <c r="N30" s="119" t="str">
        <f aca="false">rechne.GesAufwand</f>
        <v> </v>
      </c>
      <c r="O30" s="120"/>
      <c r="P30" s="117" t="str">
        <f aca="false">rechne.AnzMonate</f>
        <v> </v>
      </c>
      <c r="Q30" s="124"/>
      <c r="R30" s="121"/>
      <c r="S30" s="121"/>
      <c r="T30" s="121"/>
      <c r="U30" s="121"/>
      <c r="V30" s="121"/>
      <c r="W30" s="121"/>
      <c r="X30" s="121"/>
      <c r="Y30" s="121"/>
      <c r="Z30" s="121"/>
      <c r="AA30" s="121"/>
      <c r="AB30" s="121"/>
      <c r="AC30" s="121"/>
    </row>
    <row r="31" s="10" customFormat="true" ht="11.25" hidden="false" customHeight="true" outlineLevel="0" collapsed="false">
      <c r="A31" s="116"/>
      <c r="B31" s="116" t="n">
        <f aca="false">zeige.Jahr</f>
        <v>1</v>
      </c>
      <c r="C31" s="117" t="str">
        <f aca="false">zeige.Jahrtxt</f>
        <v> Jahr</v>
      </c>
      <c r="D31" s="116" t="n">
        <f aca="false">zeige.Monat</f>
        <v>1</v>
      </c>
      <c r="E31" s="117" t="str">
        <f aca="false">zeige.Monattxt</f>
        <v> Monat</v>
      </c>
      <c r="F31" s="123" t="n">
        <f aca="false">rechne.Zahlungstermine</f>
        <v>44196</v>
      </c>
      <c r="G31" s="119" t="str">
        <f aca="false">rechne.Restkredit</f>
        <v> </v>
      </c>
      <c r="H31" s="119" t="str">
        <f aca="false">rechne.Zinsen</f>
        <v> </v>
      </c>
      <c r="I31" s="119" t="str">
        <f aca="false">rechne.Tilgung</f>
        <v> </v>
      </c>
      <c r="J31" s="119" t="str">
        <f aca="false">rechne.Betrag</f>
        <v> </v>
      </c>
      <c r="K31" s="119"/>
      <c r="L31" s="119" t="str">
        <f aca="false">rechne.GesZins</f>
        <v> </v>
      </c>
      <c r="M31" s="119" t="str">
        <f aca="false">rechne.GesTilg</f>
        <v> </v>
      </c>
      <c r="N31" s="119" t="str">
        <f aca="false">rechne.GesAufwand</f>
        <v> </v>
      </c>
      <c r="O31" s="120"/>
      <c r="P31" s="117" t="str">
        <f aca="false">rechne.AnzMonate</f>
        <v> </v>
      </c>
      <c r="Q31" s="124"/>
      <c r="R31" s="121"/>
      <c r="S31" s="121"/>
      <c r="T31" s="121"/>
      <c r="U31" s="121"/>
      <c r="V31" s="121"/>
      <c r="W31" s="121"/>
      <c r="X31" s="121"/>
      <c r="Y31" s="121"/>
      <c r="Z31" s="121"/>
      <c r="AA31" s="121"/>
      <c r="AB31" s="121"/>
      <c r="AC31" s="121"/>
    </row>
    <row r="32" customFormat="false" ht="12" hidden="false" customHeight="false" outlineLevel="0" collapsed="false">
      <c r="A32" s="116"/>
      <c r="B32" s="116" t="n">
        <f aca="false">zeige.Jahr</f>
        <v>1</v>
      </c>
      <c r="C32" s="117" t="str">
        <f aca="false">zeige.Jahrtxt</f>
        <v> Jahr</v>
      </c>
      <c r="D32" s="116" t="n">
        <f aca="false">zeige.Monat</f>
        <v>2</v>
      </c>
      <c r="E32" s="117" t="str">
        <f aca="false">zeige.Monattxt</f>
        <v> Monate</v>
      </c>
      <c r="F32" s="123" t="n">
        <f aca="false">rechne.Zahlungstermine</f>
        <v>44227</v>
      </c>
      <c r="G32" s="119" t="str">
        <f aca="false">rechne.Restkredit</f>
        <v> </v>
      </c>
      <c r="H32" s="119" t="str">
        <f aca="false">rechne.Zinsen</f>
        <v> </v>
      </c>
      <c r="I32" s="119" t="str">
        <f aca="false">rechne.Tilgung</f>
        <v> </v>
      </c>
      <c r="J32" s="119" t="str">
        <f aca="false">rechne.Betrag</f>
        <v> </v>
      </c>
      <c r="K32" s="119"/>
      <c r="L32" s="119" t="str">
        <f aca="false">rechne.GesZins</f>
        <v> </v>
      </c>
      <c r="M32" s="119" t="str">
        <f aca="false">rechne.GesTilg</f>
        <v> </v>
      </c>
      <c r="N32" s="119" t="str">
        <f aca="false">rechne.GesAufwand</f>
        <v> </v>
      </c>
      <c r="O32" s="120"/>
      <c r="P32" s="117" t="str">
        <f aca="false">rechne.AnzMonate</f>
        <v> </v>
      </c>
      <c r="Q32" s="124"/>
      <c r="R32" s="126"/>
      <c r="S32" s="126"/>
      <c r="T32" s="126"/>
      <c r="U32" s="126"/>
      <c r="V32" s="126"/>
      <c r="W32" s="126"/>
      <c r="X32" s="126"/>
      <c r="Y32" s="126"/>
      <c r="Z32" s="126"/>
      <c r="AA32" s="126"/>
      <c r="AB32" s="126"/>
      <c r="AC32" s="126"/>
    </row>
    <row r="33" customFormat="false" ht="12" hidden="false" customHeight="false" outlineLevel="0" collapsed="false">
      <c r="A33" s="116"/>
      <c r="B33" s="116" t="n">
        <f aca="false">zeige.Jahr</f>
        <v>1</v>
      </c>
      <c r="C33" s="117" t="str">
        <f aca="false">zeige.Jahrtxt</f>
        <v> Jahr</v>
      </c>
      <c r="D33" s="116" t="n">
        <f aca="false">zeige.Monat</f>
        <v>3</v>
      </c>
      <c r="E33" s="117" t="str">
        <f aca="false">zeige.Monattxt</f>
        <v> Monate</v>
      </c>
      <c r="F33" s="123" t="n">
        <f aca="false">rechne.Zahlungstermine</f>
        <v>44255</v>
      </c>
      <c r="G33" s="119" t="str">
        <f aca="false">rechne.Restkredit</f>
        <v> </v>
      </c>
      <c r="H33" s="119" t="str">
        <f aca="false">rechne.Zinsen</f>
        <v> </v>
      </c>
      <c r="I33" s="119" t="str">
        <f aca="false">rechne.Tilgung</f>
        <v> </v>
      </c>
      <c r="J33" s="119" t="str">
        <f aca="false">rechne.Betrag</f>
        <v> </v>
      </c>
      <c r="K33" s="119"/>
      <c r="L33" s="119" t="str">
        <f aca="false">rechne.GesZins</f>
        <v> </v>
      </c>
      <c r="M33" s="119" t="str">
        <f aca="false">rechne.GesTilg</f>
        <v> </v>
      </c>
      <c r="N33" s="119" t="str">
        <f aca="false">rechne.GesAufwand</f>
        <v> </v>
      </c>
      <c r="O33" s="120"/>
      <c r="P33" s="117" t="str">
        <f aca="false">rechne.AnzMonate</f>
        <v> </v>
      </c>
      <c r="Q33" s="124"/>
      <c r="R33" s="126"/>
      <c r="S33" s="126"/>
      <c r="T33" s="126"/>
      <c r="U33" s="126"/>
      <c r="V33" s="126"/>
      <c r="W33" s="126"/>
      <c r="X33" s="126"/>
      <c r="Y33" s="126"/>
      <c r="Z33" s="126"/>
      <c r="AA33" s="126"/>
      <c r="AB33" s="126"/>
      <c r="AC33" s="126"/>
    </row>
    <row r="34" customFormat="false" ht="12" hidden="false" customHeight="false" outlineLevel="0" collapsed="false">
      <c r="A34" s="116"/>
      <c r="B34" s="116" t="n">
        <f aca="false">zeige.Jahr</f>
        <v>1</v>
      </c>
      <c r="C34" s="117" t="str">
        <f aca="false">zeige.Jahrtxt</f>
        <v> Jahr</v>
      </c>
      <c r="D34" s="116" t="n">
        <f aca="false">zeige.Monat</f>
        <v>4</v>
      </c>
      <c r="E34" s="117" t="str">
        <f aca="false">zeige.Monattxt</f>
        <v> Monate</v>
      </c>
      <c r="F34" s="123" t="n">
        <f aca="false">rechne.Zahlungstermine</f>
        <v>44286</v>
      </c>
      <c r="G34" s="119" t="str">
        <f aca="false">rechne.Restkredit</f>
        <v> </v>
      </c>
      <c r="H34" s="119" t="str">
        <f aca="false">rechne.Zinsen</f>
        <v> </v>
      </c>
      <c r="I34" s="119" t="str">
        <f aca="false">rechne.Tilgung</f>
        <v> </v>
      </c>
      <c r="J34" s="119" t="str">
        <f aca="false">rechne.Betrag</f>
        <v> </v>
      </c>
      <c r="K34" s="119"/>
      <c r="L34" s="119" t="str">
        <f aca="false">rechne.GesZins</f>
        <v> </v>
      </c>
      <c r="M34" s="119" t="str">
        <f aca="false">rechne.GesTilg</f>
        <v> </v>
      </c>
      <c r="N34" s="119" t="str">
        <f aca="false">rechne.GesAufwand</f>
        <v> </v>
      </c>
      <c r="O34" s="120"/>
      <c r="P34" s="117" t="str">
        <f aca="false">rechne.AnzMonate</f>
        <v> </v>
      </c>
      <c r="Q34" s="124"/>
      <c r="R34" s="126"/>
      <c r="S34" s="126"/>
      <c r="T34" s="126"/>
      <c r="U34" s="126"/>
      <c r="V34" s="126"/>
      <c r="W34" s="126"/>
      <c r="X34" s="126"/>
      <c r="Y34" s="126"/>
      <c r="Z34" s="126"/>
      <c r="AA34" s="126"/>
      <c r="AB34" s="126"/>
      <c r="AC34" s="126"/>
    </row>
    <row r="35" customFormat="false" ht="12" hidden="false" customHeight="false" outlineLevel="0" collapsed="false">
      <c r="A35" s="116"/>
      <c r="B35" s="116" t="n">
        <f aca="false">zeige.Jahr</f>
        <v>1</v>
      </c>
      <c r="C35" s="117" t="str">
        <f aca="false">zeige.Jahrtxt</f>
        <v> Jahr</v>
      </c>
      <c r="D35" s="116" t="n">
        <f aca="false">zeige.Monat</f>
        <v>5</v>
      </c>
      <c r="E35" s="117" t="str">
        <f aca="false">zeige.Monattxt</f>
        <v> Monate</v>
      </c>
      <c r="F35" s="123" t="n">
        <f aca="false">rechne.Zahlungstermine</f>
        <v>44316</v>
      </c>
      <c r="G35" s="119" t="str">
        <f aca="false">rechne.Restkredit</f>
        <v> </v>
      </c>
      <c r="H35" s="119" t="str">
        <f aca="false">rechne.Zinsen</f>
        <v> </v>
      </c>
      <c r="I35" s="119" t="str">
        <f aca="false">rechne.Tilgung</f>
        <v> </v>
      </c>
      <c r="J35" s="119" t="str">
        <f aca="false">rechne.Betrag</f>
        <v> </v>
      </c>
      <c r="K35" s="119"/>
      <c r="L35" s="119" t="str">
        <f aca="false">rechne.GesZins</f>
        <v> </v>
      </c>
      <c r="M35" s="119" t="str">
        <f aca="false">rechne.GesTilg</f>
        <v> </v>
      </c>
      <c r="N35" s="119" t="str">
        <f aca="false">rechne.GesAufwand</f>
        <v> </v>
      </c>
      <c r="O35" s="120"/>
      <c r="P35" s="117" t="str">
        <f aca="false">rechne.AnzMonate</f>
        <v> </v>
      </c>
      <c r="Q35" s="124"/>
      <c r="R35" s="126"/>
      <c r="S35" s="126"/>
      <c r="T35" s="126"/>
      <c r="U35" s="126"/>
      <c r="V35" s="126"/>
      <c r="W35" s="126"/>
      <c r="X35" s="126"/>
      <c r="Y35" s="126"/>
      <c r="Z35" s="126"/>
      <c r="AA35" s="126"/>
      <c r="AB35" s="126"/>
      <c r="AC35" s="126"/>
    </row>
    <row r="36" customFormat="false" ht="12" hidden="false" customHeight="false" outlineLevel="0" collapsed="false">
      <c r="A36" s="116"/>
      <c r="B36" s="116" t="n">
        <f aca="false">zeige.Jahr</f>
        <v>1</v>
      </c>
      <c r="C36" s="117" t="str">
        <f aca="false">zeige.Jahrtxt</f>
        <v> Jahr</v>
      </c>
      <c r="D36" s="116" t="n">
        <f aca="false">zeige.Monat</f>
        <v>6</v>
      </c>
      <c r="E36" s="117" t="str">
        <f aca="false">zeige.Monattxt</f>
        <v> Monate</v>
      </c>
      <c r="F36" s="123" t="n">
        <f aca="false">rechne.Zahlungstermine</f>
        <v>44347</v>
      </c>
      <c r="G36" s="119" t="str">
        <f aca="false">rechne.Restkredit</f>
        <v> </v>
      </c>
      <c r="H36" s="119" t="str">
        <f aca="false">rechne.Zinsen</f>
        <v> </v>
      </c>
      <c r="I36" s="119" t="str">
        <f aca="false">rechne.Tilgung</f>
        <v> </v>
      </c>
      <c r="J36" s="119" t="str">
        <f aca="false">rechne.Betrag</f>
        <v> </v>
      </c>
      <c r="K36" s="119"/>
      <c r="L36" s="119" t="str">
        <f aca="false">rechne.GesZins</f>
        <v> </v>
      </c>
      <c r="M36" s="119" t="str">
        <f aca="false">rechne.GesTilg</f>
        <v> </v>
      </c>
      <c r="N36" s="119" t="str">
        <f aca="false">rechne.GesAufwand</f>
        <v> </v>
      </c>
      <c r="O36" s="120"/>
      <c r="P36" s="117" t="str">
        <f aca="false">rechne.AnzMonate</f>
        <v> </v>
      </c>
      <c r="Q36" s="124"/>
      <c r="R36" s="126"/>
      <c r="S36" s="126"/>
      <c r="T36" s="126"/>
      <c r="U36" s="126"/>
      <c r="V36" s="126"/>
      <c r="W36" s="126"/>
      <c r="X36" s="126"/>
      <c r="Y36" s="126"/>
      <c r="Z36" s="126"/>
      <c r="AA36" s="126"/>
      <c r="AB36" s="126"/>
      <c r="AC36" s="126"/>
    </row>
    <row r="37" customFormat="false" ht="12" hidden="false" customHeight="false" outlineLevel="0" collapsed="false">
      <c r="A37" s="116"/>
      <c r="B37" s="116" t="n">
        <f aca="false">zeige.Jahr</f>
        <v>1</v>
      </c>
      <c r="C37" s="117" t="str">
        <f aca="false">zeige.Jahrtxt</f>
        <v> Jahr</v>
      </c>
      <c r="D37" s="116" t="n">
        <f aca="false">zeige.Monat</f>
        <v>7</v>
      </c>
      <c r="E37" s="117" t="str">
        <f aca="false">zeige.Monattxt</f>
        <v> Monate</v>
      </c>
      <c r="F37" s="123" t="n">
        <f aca="false">rechne.Zahlungstermine</f>
        <v>44377</v>
      </c>
      <c r="G37" s="119" t="str">
        <f aca="false">rechne.Restkredit</f>
        <v> </v>
      </c>
      <c r="H37" s="119" t="str">
        <f aca="false">rechne.Zinsen</f>
        <v> </v>
      </c>
      <c r="I37" s="119" t="str">
        <f aca="false">rechne.Tilgung</f>
        <v> </v>
      </c>
      <c r="J37" s="119" t="str">
        <f aca="false">rechne.Betrag</f>
        <v> </v>
      </c>
      <c r="K37" s="119"/>
      <c r="L37" s="119" t="str">
        <f aca="false">rechne.GesZins</f>
        <v> </v>
      </c>
      <c r="M37" s="119" t="str">
        <f aca="false">rechne.GesTilg</f>
        <v> </v>
      </c>
      <c r="N37" s="119" t="str">
        <f aca="false">rechne.GesAufwand</f>
        <v> </v>
      </c>
      <c r="O37" s="120"/>
      <c r="P37" s="117" t="str">
        <f aca="false">rechne.AnzMonate</f>
        <v> </v>
      </c>
      <c r="Q37" s="124"/>
      <c r="R37" s="126"/>
      <c r="S37" s="126"/>
      <c r="T37" s="126"/>
      <c r="U37" s="126"/>
      <c r="V37" s="126"/>
      <c r="W37" s="126"/>
      <c r="X37" s="126"/>
      <c r="Y37" s="126"/>
      <c r="Z37" s="126"/>
      <c r="AA37" s="126"/>
      <c r="AB37" s="126"/>
      <c r="AC37" s="126"/>
    </row>
    <row r="38" customFormat="false" ht="12" hidden="false" customHeight="false" outlineLevel="0" collapsed="false">
      <c r="A38" s="116"/>
      <c r="B38" s="116" t="n">
        <f aca="false">zeige.Jahr</f>
        <v>1</v>
      </c>
      <c r="C38" s="117" t="str">
        <f aca="false">zeige.Jahrtxt</f>
        <v> Jahr</v>
      </c>
      <c r="D38" s="116" t="n">
        <f aca="false">zeige.Monat</f>
        <v>8</v>
      </c>
      <c r="E38" s="117" t="str">
        <f aca="false">zeige.Monattxt</f>
        <v> Monate</v>
      </c>
      <c r="F38" s="123" t="n">
        <f aca="false">rechne.Zahlungstermine</f>
        <v>44408</v>
      </c>
      <c r="G38" s="119" t="str">
        <f aca="false">rechne.Restkredit</f>
        <v> </v>
      </c>
      <c r="H38" s="119" t="str">
        <f aca="false">rechne.Zinsen</f>
        <v> </v>
      </c>
      <c r="I38" s="119" t="str">
        <f aca="false">rechne.Tilgung</f>
        <v> </v>
      </c>
      <c r="J38" s="119" t="str">
        <f aca="false">rechne.Betrag</f>
        <v> </v>
      </c>
      <c r="K38" s="119"/>
      <c r="L38" s="119" t="str">
        <f aca="false">rechne.GesZins</f>
        <v> </v>
      </c>
      <c r="M38" s="119" t="str">
        <f aca="false">rechne.GesTilg</f>
        <v> </v>
      </c>
      <c r="N38" s="119" t="str">
        <f aca="false">rechne.GesAufwand</f>
        <v> </v>
      </c>
      <c r="O38" s="120"/>
      <c r="P38" s="117" t="str">
        <f aca="false">rechne.AnzMonate</f>
        <v> </v>
      </c>
      <c r="Q38" s="124"/>
      <c r="R38" s="126"/>
      <c r="S38" s="126"/>
      <c r="T38" s="126"/>
      <c r="U38" s="126"/>
      <c r="V38" s="126"/>
      <c r="W38" s="126"/>
      <c r="X38" s="126"/>
      <c r="Y38" s="126"/>
      <c r="Z38" s="126"/>
      <c r="AA38" s="126"/>
      <c r="AB38" s="126"/>
      <c r="AC38" s="126"/>
    </row>
    <row r="39" customFormat="false" ht="12" hidden="false" customHeight="false" outlineLevel="0" collapsed="false">
      <c r="A39" s="116"/>
      <c r="B39" s="116" t="n">
        <f aca="false">zeige.Jahr</f>
        <v>1</v>
      </c>
      <c r="C39" s="117" t="str">
        <f aca="false">zeige.Jahrtxt</f>
        <v> Jahr</v>
      </c>
      <c r="D39" s="116" t="n">
        <f aca="false">zeige.Monat</f>
        <v>9</v>
      </c>
      <c r="E39" s="117" t="str">
        <f aca="false">zeige.Monattxt</f>
        <v> Monate</v>
      </c>
      <c r="F39" s="123" t="n">
        <f aca="false">rechne.Zahlungstermine</f>
        <v>44439</v>
      </c>
      <c r="G39" s="119" t="str">
        <f aca="false">rechne.Restkredit</f>
        <v> </v>
      </c>
      <c r="H39" s="119" t="str">
        <f aca="false">rechne.Zinsen</f>
        <v> </v>
      </c>
      <c r="I39" s="119" t="str">
        <f aca="false">rechne.Tilgung</f>
        <v> </v>
      </c>
      <c r="J39" s="119" t="str">
        <f aca="false">rechne.Betrag</f>
        <v> </v>
      </c>
      <c r="K39" s="119"/>
      <c r="L39" s="119" t="str">
        <f aca="false">rechne.GesZins</f>
        <v> </v>
      </c>
      <c r="M39" s="119" t="str">
        <f aca="false">rechne.GesTilg</f>
        <v> </v>
      </c>
      <c r="N39" s="119" t="str">
        <f aca="false">rechne.GesAufwand</f>
        <v> </v>
      </c>
      <c r="O39" s="120"/>
      <c r="P39" s="117" t="str">
        <f aca="false">rechne.AnzMonate</f>
        <v> </v>
      </c>
      <c r="Q39" s="124"/>
      <c r="R39" s="126"/>
      <c r="S39" s="126"/>
      <c r="T39" s="126"/>
      <c r="U39" s="126"/>
      <c r="V39" s="126"/>
      <c r="W39" s="126"/>
      <c r="X39" s="126"/>
      <c r="Y39" s="126"/>
      <c r="Z39" s="126"/>
      <c r="AA39" s="126"/>
      <c r="AB39" s="126"/>
      <c r="AC39" s="126"/>
    </row>
    <row r="40" customFormat="false" ht="12" hidden="false" customHeight="false" outlineLevel="0" collapsed="false">
      <c r="A40" s="116"/>
      <c r="B40" s="116" t="n">
        <f aca="false">zeige.Jahr</f>
        <v>1</v>
      </c>
      <c r="C40" s="117" t="str">
        <f aca="false">zeige.Jahrtxt</f>
        <v> Jahr</v>
      </c>
      <c r="D40" s="116" t="n">
        <f aca="false">zeige.Monat</f>
        <v>10</v>
      </c>
      <c r="E40" s="117" t="str">
        <f aca="false">zeige.Monattxt</f>
        <v> Monate</v>
      </c>
      <c r="F40" s="123" t="n">
        <f aca="false">rechne.Zahlungstermine</f>
        <v>44469</v>
      </c>
      <c r="G40" s="119" t="str">
        <f aca="false">rechne.Restkredit</f>
        <v> </v>
      </c>
      <c r="H40" s="119" t="str">
        <f aca="false">rechne.Zinsen</f>
        <v> </v>
      </c>
      <c r="I40" s="119" t="str">
        <f aca="false">rechne.Tilgung</f>
        <v> </v>
      </c>
      <c r="J40" s="119" t="str">
        <f aca="false">rechne.Betrag</f>
        <v> </v>
      </c>
      <c r="K40" s="119"/>
      <c r="L40" s="119" t="str">
        <f aca="false">rechne.GesZins</f>
        <v> </v>
      </c>
      <c r="M40" s="119" t="str">
        <f aca="false">rechne.GesTilg</f>
        <v> </v>
      </c>
      <c r="N40" s="119" t="str">
        <f aca="false">rechne.GesAufwand</f>
        <v> </v>
      </c>
      <c r="O40" s="120"/>
      <c r="P40" s="117" t="str">
        <f aca="false">rechne.AnzMonate</f>
        <v> </v>
      </c>
      <c r="Q40" s="124"/>
      <c r="R40" s="126"/>
      <c r="S40" s="126"/>
      <c r="T40" s="126"/>
      <c r="U40" s="126"/>
      <c r="V40" s="126"/>
      <c r="W40" s="126"/>
      <c r="X40" s="126"/>
      <c r="Y40" s="126"/>
      <c r="Z40" s="126"/>
      <c r="AA40" s="126"/>
      <c r="AB40" s="126"/>
      <c r="AC40" s="126"/>
    </row>
    <row r="41" customFormat="false" ht="12" hidden="false" customHeight="false" outlineLevel="0" collapsed="false">
      <c r="A41" s="116"/>
      <c r="B41" s="116" t="n">
        <f aca="false">zeige.Jahr</f>
        <v>1</v>
      </c>
      <c r="C41" s="117" t="str">
        <f aca="false">zeige.Jahrtxt</f>
        <v> Jahr</v>
      </c>
      <c r="D41" s="116" t="n">
        <f aca="false">zeige.Monat</f>
        <v>11</v>
      </c>
      <c r="E41" s="117" t="str">
        <f aca="false">zeige.Monattxt</f>
        <v> Monate</v>
      </c>
      <c r="F41" s="123" t="n">
        <f aca="false">rechne.Zahlungstermine</f>
        <v>44500</v>
      </c>
      <c r="G41" s="119" t="str">
        <f aca="false">rechne.Restkredit</f>
        <v> </v>
      </c>
      <c r="H41" s="119" t="str">
        <f aca="false">rechne.Zinsen</f>
        <v> </v>
      </c>
      <c r="I41" s="119" t="str">
        <f aca="false">rechne.Tilgung</f>
        <v> </v>
      </c>
      <c r="J41" s="119" t="str">
        <f aca="false">rechne.Betrag</f>
        <v> </v>
      </c>
      <c r="K41" s="119"/>
      <c r="L41" s="119" t="str">
        <f aca="false">rechne.GesZins</f>
        <v> </v>
      </c>
      <c r="M41" s="119" t="str">
        <f aca="false">rechne.GesTilg</f>
        <v> </v>
      </c>
      <c r="N41" s="119" t="str">
        <f aca="false">rechne.GesAufwand</f>
        <v> </v>
      </c>
      <c r="O41" s="120"/>
      <c r="P41" s="117" t="str">
        <f aca="false">rechne.AnzMonate</f>
        <v> </v>
      </c>
      <c r="Q41" s="124"/>
      <c r="R41" s="126"/>
      <c r="S41" s="126"/>
      <c r="T41" s="126"/>
      <c r="U41" s="126"/>
      <c r="V41" s="126"/>
      <c r="W41" s="126"/>
      <c r="X41" s="126"/>
      <c r="Y41" s="126"/>
      <c r="Z41" s="126"/>
      <c r="AA41" s="126"/>
      <c r="AB41" s="126"/>
      <c r="AC41" s="126"/>
    </row>
    <row r="42" customFormat="false" ht="12" hidden="false" customHeight="false" outlineLevel="0" collapsed="false">
      <c r="A42" s="116"/>
      <c r="B42" s="116" t="n">
        <f aca="false">zeige.Jahr</f>
        <v>2</v>
      </c>
      <c r="C42" s="117" t="str">
        <f aca="false">zeige.Jahrtxt</f>
        <v> Jahre</v>
      </c>
      <c r="D42" s="116" t="n">
        <f aca="false">zeige.Monat</f>
        <v>0</v>
      </c>
      <c r="E42" s="117" t="str">
        <f aca="false">zeige.Monattxt</f>
        <v> </v>
      </c>
      <c r="F42" s="123" t="n">
        <f aca="false">rechne.Zahlungstermine</f>
        <v>44530</v>
      </c>
      <c r="G42" s="119" t="str">
        <f aca="false">rechne.Restkredit</f>
        <v> </v>
      </c>
      <c r="H42" s="119" t="str">
        <f aca="false">rechne.Zinsen</f>
        <v> </v>
      </c>
      <c r="I42" s="119" t="str">
        <f aca="false">rechne.Tilgung</f>
        <v> </v>
      </c>
      <c r="J42" s="119" t="str">
        <f aca="false">rechne.Betrag</f>
        <v> </v>
      </c>
      <c r="K42" s="119"/>
      <c r="L42" s="119" t="str">
        <f aca="false">rechne.GesZins</f>
        <v> </v>
      </c>
      <c r="M42" s="119" t="str">
        <f aca="false">rechne.GesTilg</f>
        <v> </v>
      </c>
      <c r="N42" s="119" t="str">
        <f aca="false">rechne.GesAufwand</f>
        <v> </v>
      </c>
      <c r="O42" s="120"/>
      <c r="P42" s="117" t="str">
        <f aca="false">rechne.AnzMonate</f>
        <v> </v>
      </c>
      <c r="Q42" s="124"/>
      <c r="R42" s="126"/>
      <c r="S42" s="126"/>
      <c r="T42" s="126"/>
      <c r="U42" s="126"/>
      <c r="V42" s="126"/>
      <c r="W42" s="126"/>
      <c r="X42" s="126"/>
      <c r="Y42" s="126"/>
      <c r="Z42" s="126"/>
      <c r="AA42" s="126"/>
      <c r="AB42" s="126"/>
      <c r="AC42" s="126"/>
    </row>
    <row r="43" customFormat="false" ht="12" hidden="false" customHeight="false" outlineLevel="0" collapsed="false">
      <c r="A43" s="116"/>
      <c r="B43" s="116" t="n">
        <f aca="false">zeige.Jahr</f>
        <v>2</v>
      </c>
      <c r="C43" s="117" t="str">
        <f aca="false">zeige.Jahrtxt</f>
        <v> Jahre</v>
      </c>
      <c r="D43" s="116" t="n">
        <f aca="false">zeige.Monat</f>
        <v>1</v>
      </c>
      <c r="E43" s="117" t="str">
        <f aca="false">zeige.Monattxt</f>
        <v> Monat</v>
      </c>
      <c r="F43" s="123" t="n">
        <f aca="false">rechne.Zahlungstermine</f>
        <v>44561</v>
      </c>
      <c r="G43" s="119" t="str">
        <f aca="false">rechne.Restkredit</f>
        <v> </v>
      </c>
      <c r="H43" s="119" t="str">
        <f aca="false">rechne.Zinsen</f>
        <v> </v>
      </c>
      <c r="I43" s="119" t="str">
        <f aca="false">rechne.Tilgung</f>
        <v> </v>
      </c>
      <c r="J43" s="119" t="str">
        <f aca="false">rechne.Betrag</f>
        <v> </v>
      </c>
      <c r="K43" s="119"/>
      <c r="L43" s="119" t="str">
        <f aca="false">rechne.GesZins</f>
        <v> </v>
      </c>
      <c r="M43" s="119" t="str">
        <f aca="false">rechne.GesTilg</f>
        <v> </v>
      </c>
      <c r="N43" s="119" t="str">
        <f aca="false">rechne.GesAufwand</f>
        <v> </v>
      </c>
      <c r="O43" s="120"/>
      <c r="P43" s="117" t="str">
        <f aca="false">rechne.AnzMonate</f>
        <v> </v>
      </c>
      <c r="Q43" s="124"/>
      <c r="R43" s="126"/>
      <c r="S43" s="126"/>
      <c r="T43" s="126"/>
      <c r="U43" s="126"/>
      <c r="V43" s="126"/>
      <c r="W43" s="126"/>
      <c r="X43" s="126"/>
      <c r="Y43" s="126"/>
      <c r="Z43" s="126"/>
      <c r="AA43" s="126"/>
      <c r="AB43" s="126"/>
      <c r="AC43" s="126"/>
    </row>
    <row r="44" customFormat="false" ht="12" hidden="false" customHeight="false" outlineLevel="0" collapsed="false">
      <c r="A44" s="116"/>
      <c r="B44" s="116" t="n">
        <f aca="false">zeige.Jahr</f>
        <v>2</v>
      </c>
      <c r="C44" s="117" t="str">
        <f aca="false">zeige.Jahrtxt</f>
        <v> Jahre</v>
      </c>
      <c r="D44" s="116" t="n">
        <f aca="false">zeige.Monat</f>
        <v>2</v>
      </c>
      <c r="E44" s="117" t="str">
        <f aca="false">zeige.Monattxt</f>
        <v> Monate</v>
      </c>
      <c r="F44" s="123" t="n">
        <f aca="false">rechne.Zahlungstermine</f>
        <v>44592</v>
      </c>
      <c r="G44" s="119" t="str">
        <f aca="false">rechne.Restkredit</f>
        <v> </v>
      </c>
      <c r="H44" s="119" t="str">
        <f aca="false">rechne.Zinsen</f>
        <v> </v>
      </c>
      <c r="I44" s="119" t="str">
        <f aca="false">rechne.Tilgung</f>
        <v> </v>
      </c>
      <c r="J44" s="119" t="str">
        <f aca="false">rechne.Betrag</f>
        <v> </v>
      </c>
      <c r="K44" s="119"/>
      <c r="L44" s="119" t="str">
        <f aca="false">rechne.GesZins</f>
        <v> </v>
      </c>
      <c r="M44" s="119" t="str">
        <f aca="false">rechne.GesTilg</f>
        <v> </v>
      </c>
      <c r="N44" s="119" t="str">
        <f aca="false">rechne.GesAufwand</f>
        <v> </v>
      </c>
      <c r="O44" s="120"/>
      <c r="P44" s="117" t="str">
        <f aca="false">rechne.AnzMonate</f>
        <v> </v>
      </c>
      <c r="Q44" s="124"/>
      <c r="R44" s="126"/>
      <c r="S44" s="126"/>
      <c r="T44" s="126"/>
      <c r="U44" s="126"/>
      <c r="V44" s="126"/>
      <c r="W44" s="126"/>
      <c r="X44" s="126"/>
      <c r="Y44" s="126"/>
      <c r="Z44" s="126"/>
      <c r="AA44" s="126"/>
      <c r="AB44" s="126"/>
      <c r="AC44" s="126"/>
    </row>
    <row r="45" customFormat="false" ht="12" hidden="false" customHeight="false" outlineLevel="0" collapsed="false">
      <c r="A45" s="116"/>
      <c r="B45" s="116" t="n">
        <f aca="false">zeige.Jahr</f>
        <v>2</v>
      </c>
      <c r="C45" s="117" t="str">
        <f aca="false">zeige.Jahrtxt</f>
        <v> Jahre</v>
      </c>
      <c r="D45" s="116" t="n">
        <f aca="false">zeige.Monat</f>
        <v>3</v>
      </c>
      <c r="E45" s="117" t="str">
        <f aca="false">zeige.Monattxt</f>
        <v> Monate</v>
      </c>
      <c r="F45" s="123" t="n">
        <f aca="false">rechne.Zahlungstermine</f>
        <v>44620</v>
      </c>
      <c r="G45" s="119" t="str">
        <f aca="false">rechne.Restkredit</f>
        <v> </v>
      </c>
      <c r="H45" s="119" t="str">
        <f aca="false">rechne.Zinsen</f>
        <v> </v>
      </c>
      <c r="I45" s="119" t="str">
        <f aca="false">rechne.Tilgung</f>
        <v> </v>
      </c>
      <c r="J45" s="119" t="str">
        <f aca="false">rechne.Betrag</f>
        <v> </v>
      </c>
      <c r="K45" s="119"/>
      <c r="L45" s="119" t="str">
        <f aca="false">rechne.GesZins</f>
        <v> </v>
      </c>
      <c r="M45" s="119" t="str">
        <f aca="false">rechne.GesTilg</f>
        <v> </v>
      </c>
      <c r="N45" s="119" t="str">
        <f aca="false">rechne.GesAufwand</f>
        <v> </v>
      </c>
      <c r="O45" s="120"/>
      <c r="P45" s="117" t="str">
        <f aca="false">rechne.AnzMonate</f>
        <v> </v>
      </c>
      <c r="Q45" s="124"/>
      <c r="R45" s="126"/>
      <c r="S45" s="126"/>
      <c r="T45" s="126"/>
      <c r="U45" s="126"/>
      <c r="V45" s="126"/>
      <c r="W45" s="126"/>
      <c r="X45" s="126"/>
      <c r="Y45" s="126"/>
      <c r="Z45" s="126"/>
      <c r="AA45" s="126"/>
      <c r="AB45" s="126"/>
      <c r="AC45" s="126"/>
    </row>
    <row r="46" customFormat="false" ht="12" hidden="false" customHeight="false" outlineLevel="0" collapsed="false">
      <c r="A46" s="116"/>
      <c r="B46" s="116" t="n">
        <f aca="false">zeige.Jahr</f>
        <v>2</v>
      </c>
      <c r="C46" s="117" t="str">
        <f aca="false">zeige.Jahrtxt</f>
        <v> Jahre</v>
      </c>
      <c r="D46" s="116" t="n">
        <f aca="false">zeige.Monat</f>
        <v>4</v>
      </c>
      <c r="E46" s="117" t="str">
        <f aca="false">zeige.Monattxt</f>
        <v> Monate</v>
      </c>
      <c r="F46" s="123" t="n">
        <f aca="false">rechne.Zahlungstermine</f>
        <v>44651</v>
      </c>
      <c r="G46" s="119" t="str">
        <f aca="false">rechne.Restkredit</f>
        <v> </v>
      </c>
      <c r="H46" s="119" t="str">
        <f aca="false">rechne.Zinsen</f>
        <v> </v>
      </c>
      <c r="I46" s="119" t="str">
        <f aca="false">rechne.Tilgung</f>
        <v> </v>
      </c>
      <c r="J46" s="119" t="str">
        <f aca="false">rechne.Betrag</f>
        <v> </v>
      </c>
      <c r="K46" s="119"/>
      <c r="L46" s="119" t="str">
        <f aca="false">rechne.GesZins</f>
        <v> </v>
      </c>
      <c r="M46" s="119" t="str">
        <f aca="false">rechne.GesTilg</f>
        <v> </v>
      </c>
      <c r="N46" s="119" t="str">
        <f aca="false">rechne.GesAufwand</f>
        <v> </v>
      </c>
      <c r="O46" s="120"/>
      <c r="P46" s="117" t="str">
        <f aca="false">rechne.AnzMonate</f>
        <v> </v>
      </c>
      <c r="Q46" s="124"/>
      <c r="R46" s="126"/>
      <c r="S46" s="126"/>
      <c r="T46" s="126"/>
      <c r="U46" s="126"/>
      <c r="V46" s="126"/>
      <c r="W46" s="126"/>
      <c r="X46" s="126"/>
      <c r="Y46" s="126"/>
      <c r="Z46" s="126"/>
      <c r="AA46" s="126"/>
      <c r="AB46" s="126"/>
      <c r="AC46" s="126"/>
    </row>
    <row r="47" customFormat="false" ht="12" hidden="false" customHeight="false" outlineLevel="0" collapsed="false">
      <c r="A47" s="116"/>
      <c r="B47" s="116" t="n">
        <f aca="false">zeige.Jahr</f>
        <v>2</v>
      </c>
      <c r="C47" s="117" t="str">
        <f aca="false">zeige.Jahrtxt</f>
        <v> Jahre</v>
      </c>
      <c r="D47" s="116" t="n">
        <f aca="false">zeige.Monat</f>
        <v>5</v>
      </c>
      <c r="E47" s="117" t="str">
        <f aca="false">zeige.Monattxt</f>
        <v> Monate</v>
      </c>
      <c r="F47" s="123" t="n">
        <f aca="false">rechne.Zahlungstermine</f>
        <v>44681</v>
      </c>
      <c r="G47" s="119" t="str">
        <f aca="false">rechne.Restkredit</f>
        <v> </v>
      </c>
      <c r="H47" s="119" t="str">
        <f aca="false">rechne.Zinsen</f>
        <v> </v>
      </c>
      <c r="I47" s="119" t="str">
        <f aca="false">rechne.Tilgung</f>
        <v> </v>
      </c>
      <c r="J47" s="119" t="str">
        <f aca="false">rechne.Betrag</f>
        <v> </v>
      </c>
      <c r="K47" s="119"/>
      <c r="L47" s="119" t="str">
        <f aca="false">rechne.GesZins</f>
        <v> </v>
      </c>
      <c r="M47" s="119" t="str">
        <f aca="false">rechne.GesTilg</f>
        <v> </v>
      </c>
      <c r="N47" s="119" t="str">
        <f aca="false">rechne.GesAufwand</f>
        <v> </v>
      </c>
      <c r="O47" s="120"/>
      <c r="P47" s="117" t="str">
        <f aca="false">rechne.AnzMonate</f>
        <v> </v>
      </c>
      <c r="Q47" s="124"/>
      <c r="R47" s="126"/>
      <c r="S47" s="126"/>
      <c r="T47" s="126"/>
      <c r="U47" s="126"/>
      <c r="V47" s="126"/>
      <c r="W47" s="126"/>
      <c r="X47" s="126"/>
      <c r="Y47" s="126"/>
      <c r="Z47" s="126"/>
      <c r="AA47" s="126"/>
      <c r="AB47" s="126"/>
      <c r="AC47" s="126"/>
    </row>
    <row r="48" customFormat="false" ht="12" hidden="false" customHeight="false" outlineLevel="0" collapsed="false">
      <c r="A48" s="116"/>
      <c r="B48" s="116" t="n">
        <f aca="false">zeige.Jahr</f>
        <v>2</v>
      </c>
      <c r="C48" s="117" t="str">
        <f aca="false">zeige.Jahrtxt</f>
        <v> Jahre</v>
      </c>
      <c r="D48" s="116" t="n">
        <f aca="false">zeige.Monat</f>
        <v>6</v>
      </c>
      <c r="E48" s="117" t="str">
        <f aca="false">zeige.Monattxt</f>
        <v> Monate</v>
      </c>
      <c r="F48" s="123" t="n">
        <f aca="false">rechne.Zahlungstermine</f>
        <v>44712</v>
      </c>
      <c r="G48" s="119" t="str">
        <f aca="false">rechne.Restkredit</f>
        <v> </v>
      </c>
      <c r="H48" s="119" t="str">
        <f aca="false">rechne.Zinsen</f>
        <v> </v>
      </c>
      <c r="I48" s="119" t="str">
        <f aca="false">rechne.Tilgung</f>
        <v> </v>
      </c>
      <c r="J48" s="119" t="str">
        <f aca="false">rechne.Betrag</f>
        <v> </v>
      </c>
      <c r="K48" s="119"/>
      <c r="L48" s="119" t="str">
        <f aca="false">rechne.GesZins</f>
        <v> </v>
      </c>
      <c r="M48" s="119" t="str">
        <f aca="false">rechne.GesTilg</f>
        <v> </v>
      </c>
      <c r="N48" s="119" t="str">
        <f aca="false">rechne.GesAufwand</f>
        <v> </v>
      </c>
      <c r="O48" s="120"/>
      <c r="P48" s="117" t="str">
        <f aca="false">rechne.AnzMonate</f>
        <v> </v>
      </c>
      <c r="Q48" s="124"/>
      <c r="R48" s="126"/>
      <c r="S48" s="126"/>
      <c r="T48" s="126"/>
      <c r="U48" s="126"/>
      <c r="V48" s="126"/>
      <c r="W48" s="126"/>
      <c r="X48" s="126"/>
      <c r="Y48" s="126"/>
      <c r="Z48" s="126"/>
      <c r="AA48" s="126"/>
      <c r="AB48" s="126"/>
      <c r="AC48" s="126"/>
    </row>
    <row r="49" customFormat="false" ht="12" hidden="false" customHeight="false" outlineLevel="0" collapsed="false">
      <c r="A49" s="116"/>
      <c r="B49" s="116" t="n">
        <f aca="false">zeige.Jahr</f>
        <v>2</v>
      </c>
      <c r="C49" s="117" t="str">
        <f aca="false">zeige.Jahrtxt</f>
        <v> Jahre</v>
      </c>
      <c r="D49" s="116" t="n">
        <f aca="false">zeige.Monat</f>
        <v>7</v>
      </c>
      <c r="E49" s="117" t="str">
        <f aca="false">zeige.Monattxt</f>
        <v> Monate</v>
      </c>
      <c r="F49" s="123" t="n">
        <f aca="false">rechne.Zahlungstermine</f>
        <v>44742</v>
      </c>
      <c r="G49" s="119" t="str">
        <f aca="false">rechne.Restkredit</f>
        <v> </v>
      </c>
      <c r="H49" s="119" t="str">
        <f aca="false">rechne.Zinsen</f>
        <v> </v>
      </c>
      <c r="I49" s="119" t="str">
        <f aca="false">rechne.Tilgung</f>
        <v> </v>
      </c>
      <c r="J49" s="119" t="str">
        <f aca="false">rechne.Betrag</f>
        <v> </v>
      </c>
      <c r="K49" s="119"/>
      <c r="L49" s="119" t="str">
        <f aca="false">rechne.GesZins</f>
        <v> </v>
      </c>
      <c r="M49" s="119" t="str">
        <f aca="false">rechne.GesTilg</f>
        <v> </v>
      </c>
      <c r="N49" s="119" t="str">
        <f aca="false">rechne.GesAufwand</f>
        <v> </v>
      </c>
      <c r="O49" s="120"/>
      <c r="P49" s="117" t="str">
        <f aca="false">rechne.AnzMonate</f>
        <v> </v>
      </c>
      <c r="Q49" s="124"/>
      <c r="R49" s="126"/>
      <c r="S49" s="126"/>
      <c r="T49" s="126"/>
      <c r="U49" s="126"/>
      <c r="V49" s="126"/>
      <c r="W49" s="126"/>
      <c r="X49" s="126"/>
      <c r="Y49" s="126"/>
      <c r="Z49" s="126"/>
      <c r="AA49" s="126"/>
      <c r="AB49" s="126"/>
      <c r="AC49" s="126"/>
    </row>
    <row r="50" customFormat="false" ht="12" hidden="false" customHeight="false" outlineLevel="0" collapsed="false">
      <c r="A50" s="116"/>
      <c r="B50" s="116" t="n">
        <f aca="false">zeige.Jahr</f>
        <v>2</v>
      </c>
      <c r="C50" s="117" t="str">
        <f aca="false">zeige.Jahrtxt</f>
        <v> Jahre</v>
      </c>
      <c r="D50" s="116" t="n">
        <f aca="false">zeige.Monat</f>
        <v>8</v>
      </c>
      <c r="E50" s="117" t="str">
        <f aca="false">zeige.Monattxt</f>
        <v> Monate</v>
      </c>
      <c r="F50" s="123" t="n">
        <f aca="false">rechne.Zahlungstermine</f>
        <v>44773</v>
      </c>
      <c r="G50" s="119" t="str">
        <f aca="false">rechne.Restkredit</f>
        <v> </v>
      </c>
      <c r="H50" s="119" t="str">
        <f aca="false">rechne.Zinsen</f>
        <v> </v>
      </c>
      <c r="I50" s="119" t="str">
        <f aca="false">rechne.Tilgung</f>
        <v> </v>
      </c>
      <c r="J50" s="119" t="str">
        <f aca="false">rechne.Betrag</f>
        <v> </v>
      </c>
      <c r="K50" s="119"/>
      <c r="L50" s="119" t="str">
        <f aca="false">rechne.GesZins</f>
        <v> </v>
      </c>
      <c r="M50" s="119" t="str">
        <f aca="false">rechne.GesTilg</f>
        <v> </v>
      </c>
      <c r="N50" s="119" t="str">
        <f aca="false">rechne.GesAufwand</f>
        <v> </v>
      </c>
      <c r="O50" s="120"/>
      <c r="P50" s="117" t="str">
        <f aca="false">rechne.AnzMonate</f>
        <v> </v>
      </c>
      <c r="Q50" s="124"/>
      <c r="R50" s="126"/>
      <c r="S50" s="126"/>
      <c r="T50" s="126"/>
      <c r="U50" s="126"/>
      <c r="V50" s="126"/>
      <c r="W50" s="126"/>
      <c r="X50" s="126"/>
      <c r="Y50" s="126"/>
      <c r="Z50" s="126"/>
      <c r="AA50" s="126"/>
      <c r="AB50" s="126"/>
      <c r="AC50" s="126"/>
    </row>
    <row r="51" customFormat="false" ht="12" hidden="false" customHeight="false" outlineLevel="0" collapsed="false">
      <c r="A51" s="116"/>
      <c r="B51" s="116" t="n">
        <f aca="false">zeige.Jahr</f>
        <v>2</v>
      </c>
      <c r="C51" s="117" t="str">
        <f aca="false">zeige.Jahrtxt</f>
        <v> Jahre</v>
      </c>
      <c r="D51" s="116" t="n">
        <f aca="false">zeige.Monat</f>
        <v>9</v>
      </c>
      <c r="E51" s="117" t="str">
        <f aca="false">zeige.Monattxt</f>
        <v> Monate</v>
      </c>
      <c r="F51" s="123" t="n">
        <f aca="false">rechne.Zahlungstermine</f>
        <v>44804</v>
      </c>
      <c r="G51" s="119" t="str">
        <f aca="false">rechne.Restkredit</f>
        <v> </v>
      </c>
      <c r="H51" s="119" t="str">
        <f aca="false">rechne.Zinsen</f>
        <v> </v>
      </c>
      <c r="I51" s="119" t="str">
        <f aca="false">rechne.Tilgung</f>
        <v> </v>
      </c>
      <c r="J51" s="119" t="str">
        <f aca="false">rechne.Betrag</f>
        <v> </v>
      </c>
      <c r="K51" s="119"/>
      <c r="L51" s="119" t="str">
        <f aca="false">rechne.GesZins</f>
        <v> </v>
      </c>
      <c r="M51" s="119" t="str">
        <f aca="false">rechne.GesTilg</f>
        <v> </v>
      </c>
      <c r="N51" s="119" t="str">
        <f aca="false">rechne.GesAufwand</f>
        <v> </v>
      </c>
      <c r="O51" s="120"/>
      <c r="P51" s="117" t="str">
        <f aca="false">rechne.AnzMonate</f>
        <v> </v>
      </c>
      <c r="Q51" s="124"/>
      <c r="R51" s="126"/>
      <c r="S51" s="126"/>
      <c r="T51" s="126"/>
      <c r="U51" s="126"/>
      <c r="V51" s="126"/>
      <c r="W51" s="126"/>
      <c r="X51" s="126"/>
      <c r="Y51" s="126"/>
      <c r="Z51" s="126"/>
      <c r="AA51" s="126"/>
      <c r="AB51" s="126"/>
      <c r="AC51" s="126"/>
    </row>
    <row r="52" customFormat="false" ht="12" hidden="false" customHeight="false" outlineLevel="0" collapsed="false">
      <c r="A52" s="116"/>
      <c r="B52" s="116" t="n">
        <f aca="false">zeige.Jahr</f>
        <v>2</v>
      </c>
      <c r="C52" s="117" t="str">
        <f aca="false">zeige.Jahrtxt</f>
        <v> Jahre</v>
      </c>
      <c r="D52" s="116" t="n">
        <f aca="false">zeige.Monat</f>
        <v>10</v>
      </c>
      <c r="E52" s="117" t="str">
        <f aca="false">zeige.Monattxt</f>
        <v> Monate</v>
      </c>
      <c r="F52" s="123" t="n">
        <f aca="false">rechne.Zahlungstermine</f>
        <v>44834</v>
      </c>
      <c r="G52" s="119" t="str">
        <f aca="false">rechne.Restkredit</f>
        <v> </v>
      </c>
      <c r="H52" s="119" t="str">
        <f aca="false">rechne.Zinsen</f>
        <v> </v>
      </c>
      <c r="I52" s="119" t="str">
        <f aca="false">rechne.Tilgung</f>
        <v> </v>
      </c>
      <c r="J52" s="119" t="str">
        <f aca="false">rechne.Betrag</f>
        <v> </v>
      </c>
      <c r="K52" s="119"/>
      <c r="L52" s="119" t="str">
        <f aca="false">rechne.GesZins</f>
        <v> </v>
      </c>
      <c r="M52" s="119" t="str">
        <f aca="false">rechne.GesTilg</f>
        <v> </v>
      </c>
      <c r="N52" s="119" t="str">
        <f aca="false">rechne.GesAufwand</f>
        <v> </v>
      </c>
      <c r="O52" s="120"/>
      <c r="P52" s="117" t="str">
        <f aca="false">rechne.AnzMonate</f>
        <v> </v>
      </c>
      <c r="Q52" s="124"/>
      <c r="R52" s="126"/>
      <c r="S52" s="126"/>
      <c r="T52" s="126"/>
      <c r="U52" s="126"/>
      <c r="V52" s="126"/>
      <c r="W52" s="126"/>
      <c r="X52" s="126"/>
      <c r="Y52" s="126"/>
      <c r="Z52" s="126"/>
      <c r="AA52" s="126"/>
      <c r="AB52" s="126"/>
      <c r="AC52" s="126"/>
    </row>
    <row r="53" customFormat="false" ht="12" hidden="false" customHeight="false" outlineLevel="0" collapsed="false">
      <c r="A53" s="116"/>
      <c r="B53" s="116" t="n">
        <f aca="false">zeige.Jahr</f>
        <v>2</v>
      </c>
      <c r="C53" s="117" t="str">
        <f aca="false">zeige.Jahrtxt</f>
        <v> Jahre</v>
      </c>
      <c r="D53" s="116" t="n">
        <f aca="false">zeige.Monat</f>
        <v>11</v>
      </c>
      <c r="E53" s="117" t="str">
        <f aca="false">zeige.Monattxt</f>
        <v> Monate</v>
      </c>
      <c r="F53" s="123" t="n">
        <f aca="false">rechne.Zahlungstermine</f>
        <v>44865</v>
      </c>
      <c r="G53" s="119" t="str">
        <f aca="false">rechne.Restkredit</f>
        <v> </v>
      </c>
      <c r="H53" s="119" t="str">
        <f aca="false">rechne.Zinsen</f>
        <v> </v>
      </c>
      <c r="I53" s="119" t="str">
        <f aca="false">rechne.Tilgung</f>
        <v> </v>
      </c>
      <c r="J53" s="119" t="str">
        <f aca="false">rechne.Betrag</f>
        <v> </v>
      </c>
      <c r="K53" s="119"/>
      <c r="L53" s="119" t="str">
        <f aca="false">rechne.GesZins</f>
        <v> </v>
      </c>
      <c r="M53" s="119" t="str">
        <f aca="false">rechne.GesTilg</f>
        <v> </v>
      </c>
      <c r="N53" s="119" t="str">
        <f aca="false">rechne.GesAufwand</f>
        <v> </v>
      </c>
      <c r="O53" s="120"/>
      <c r="P53" s="117" t="str">
        <f aca="false">rechne.AnzMonate</f>
        <v> </v>
      </c>
      <c r="Q53" s="124"/>
      <c r="R53" s="126"/>
      <c r="S53" s="126"/>
      <c r="T53" s="126"/>
      <c r="U53" s="126"/>
      <c r="V53" s="126"/>
      <c r="W53" s="126"/>
      <c r="X53" s="126"/>
      <c r="Y53" s="126"/>
      <c r="Z53" s="126"/>
      <c r="AA53" s="126"/>
      <c r="AB53" s="126"/>
      <c r="AC53" s="126"/>
    </row>
    <row r="54" customFormat="false" ht="12" hidden="false" customHeight="false" outlineLevel="0" collapsed="false">
      <c r="A54" s="116"/>
      <c r="B54" s="116" t="n">
        <f aca="false">zeige.Jahr</f>
        <v>3</v>
      </c>
      <c r="C54" s="117" t="str">
        <f aca="false">zeige.Jahrtxt</f>
        <v> Jahre</v>
      </c>
      <c r="D54" s="116" t="n">
        <f aca="false">zeige.Monat</f>
        <v>0</v>
      </c>
      <c r="E54" s="117" t="str">
        <f aca="false">zeige.Monattxt</f>
        <v> </v>
      </c>
      <c r="F54" s="123" t="n">
        <f aca="false">rechne.Zahlungstermine</f>
        <v>44895</v>
      </c>
      <c r="G54" s="119" t="str">
        <f aca="false">rechne.Restkredit</f>
        <v> </v>
      </c>
      <c r="H54" s="119" t="str">
        <f aca="false">rechne.Zinsen</f>
        <v> </v>
      </c>
      <c r="I54" s="119" t="str">
        <f aca="false">rechne.Tilgung</f>
        <v> </v>
      </c>
      <c r="J54" s="119" t="str">
        <f aca="false">rechne.Betrag</f>
        <v> </v>
      </c>
      <c r="K54" s="119"/>
      <c r="L54" s="119" t="str">
        <f aca="false">rechne.GesZins</f>
        <v> </v>
      </c>
      <c r="M54" s="119" t="str">
        <f aca="false">rechne.GesTilg</f>
        <v> </v>
      </c>
      <c r="N54" s="119" t="str">
        <f aca="false">rechne.GesAufwand</f>
        <v> </v>
      </c>
      <c r="O54" s="120"/>
      <c r="P54" s="117" t="str">
        <f aca="false">rechne.AnzMonate</f>
        <v> </v>
      </c>
      <c r="Q54" s="124"/>
      <c r="R54" s="126"/>
      <c r="S54" s="126"/>
      <c r="T54" s="126"/>
      <c r="U54" s="126"/>
      <c r="V54" s="126"/>
      <c r="W54" s="126"/>
      <c r="X54" s="126"/>
      <c r="Y54" s="126"/>
      <c r="Z54" s="126"/>
      <c r="AA54" s="126"/>
      <c r="AB54" s="126"/>
      <c r="AC54" s="126"/>
    </row>
    <row r="55" customFormat="false" ht="12" hidden="false" customHeight="false" outlineLevel="0" collapsed="false">
      <c r="A55" s="116"/>
      <c r="B55" s="116" t="n">
        <f aca="false">zeige.Jahr</f>
        <v>3</v>
      </c>
      <c r="C55" s="117" t="str">
        <f aca="false">zeige.Jahrtxt</f>
        <v> Jahre</v>
      </c>
      <c r="D55" s="116" t="n">
        <f aca="false">zeige.Monat</f>
        <v>1</v>
      </c>
      <c r="E55" s="117" t="str">
        <f aca="false">zeige.Monattxt</f>
        <v> Monat</v>
      </c>
      <c r="F55" s="123" t="n">
        <f aca="false">rechne.Zahlungstermine</f>
        <v>44926</v>
      </c>
      <c r="G55" s="119" t="str">
        <f aca="false">rechne.Restkredit</f>
        <v> </v>
      </c>
      <c r="H55" s="119" t="str">
        <f aca="false">rechne.Zinsen</f>
        <v> </v>
      </c>
      <c r="I55" s="119" t="str">
        <f aca="false">rechne.Tilgung</f>
        <v> </v>
      </c>
      <c r="J55" s="119" t="str">
        <f aca="false">rechne.Betrag</f>
        <v> </v>
      </c>
      <c r="K55" s="119"/>
      <c r="L55" s="119" t="str">
        <f aca="false">rechne.GesZins</f>
        <v> </v>
      </c>
      <c r="M55" s="119" t="str">
        <f aca="false">rechne.GesTilg</f>
        <v> </v>
      </c>
      <c r="N55" s="119" t="str">
        <f aca="false">rechne.GesAufwand</f>
        <v> </v>
      </c>
      <c r="O55" s="120"/>
      <c r="P55" s="117" t="str">
        <f aca="false">rechne.AnzMonate</f>
        <v> </v>
      </c>
      <c r="Q55" s="124"/>
      <c r="R55" s="126"/>
      <c r="S55" s="126"/>
      <c r="T55" s="126"/>
      <c r="U55" s="126"/>
      <c r="V55" s="126"/>
      <c r="W55" s="126"/>
      <c r="X55" s="126"/>
      <c r="Y55" s="126"/>
      <c r="Z55" s="126"/>
      <c r="AA55" s="126"/>
      <c r="AB55" s="126"/>
      <c r="AC55" s="126"/>
    </row>
    <row r="56" customFormat="false" ht="12" hidden="false" customHeight="false" outlineLevel="0" collapsed="false">
      <c r="A56" s="116"/>
      <c r="B56" s="116" t="n">
        <f aca="false">zeige.Jahr</f>
        <v>3</v>
      </c>
      <c r="C56" s="117" t="str">
        <f aca="false">zeige.Jahrtxt</f>
        <v> Jahre</v>
      </c>
      <c r="D56" s="116" t="n">
        <f aca="false">zeige.Monat</f>
        <v>2</v>
      </c>
      <c r="E56" s="117" t="str">
        <f aca="false">zeige.Monattxt</f>
        <v> Monate</v>
      </c>
      <c r="F56" s="123" t="n">
        <f aca="false">rechne.Zahlungstermine</f>
        <v>44957</v>
      </c>
      <c r="G56" s="119" t="str">
        <f aca="false">rechne.Restkredit</f>
        <v> </v>
      </c>
      <c r="H56" s="119" t="str">
        <f aca="false">rechne.Zinsen</f>
        <v> </v>
      </c>
      <c r="I56" s="119" t="str">
        <f aca="false">rechne.Tilgung</f>
        <v> </v>
      </c>
      <c r="J56" s="119" t="str">
        <f aca="false">rechne.Betrag</f>
        <v> </v>
      </c>
      <c r="K56" s="119"/>
      <c r="L56" s="119" t="str">
        <f aca="false">rechne.GesZins</f>
        <v> </v>
      </c>
      <c r="M56" s="119" t="str">
        <f aca="false">rechne.GesTilg</f>
        <v> </v>
      </c>
      <c r="N56" s="119" t="str">
        <f aca="false">rechne.GesAufwand</f>
        <v> </v>
      </c>
      <c r="O56" s="120"/>
      <c r="P56" s="117" t="str">
        <f aca="false">rechne.AnzMonate</f>
        <v> </v>
      </c>
      <c r="Q56" s="124"/>
      <c r="R56" s="126"/>
      <c r="S56" s="126"/>
      <c r="T56" s="126"/>
      <c r="U56" s="126"/>
      <c r="V56" s="126"/>
      <c r="W56" s="126"/>
      <c r="X56" s="126"/>
      <c r="Y56" s="126"/>
      <c r="Z56" s="126"/>
      <c r="AA56" s="126"/>
      <c r="AB56" s="126"/>
      <c r="AC56" s="126"/>
    </row>
    <row r="57" customFormat="false" ht="12" hidden="false" customHeight="false" outlineLevel="0" collapsed="false">
      <c r="A57" s="116"/>
      <c r="B57" s="116" t="n">
        <f aca="false">zeige.Jahr</f>
        <v>3</v>
      </c>
      <c r="C57" s="117" t="str">
        <f aca="false">zeige.Jahrtxt</f>
        <v> Jahre</v>
      </c>
      <c r="D57" s="116" t="n">
        <f aca="false">zeige.Monat</f>
        <v>3</v>
      </c>
      <c r="E57" s="117" t="str">
        <f aca="false">zeige.Monattxt</f>
        <v> Monate</v>
      </c>
      <c r="F57" s="123" t="n">
        <f aca="false">rechne.Zahlungstermine</f>
        <v>44985</v>
      </c>
      <c r="G57" s="119" t="str">
        <f aca="false">rechne.Restkredit</f>
        <v> </v>
      </c>
      <c r="H57" s="119" t="str">
        <f aca="false">rechne.Zinsen</f>
        <v> </v>
      </c>
      <c r="I57" s="119" t="str">
        <f aca="false">rechne.Tilgung</f>
        <v> </v>
      </c>
      <c r="J57" s="119" t="str">
        <f aca="false">rechne.Betrag</f>
        <v> </v>
      </c>
      <c r="K57" s="119"/>
      <c r="L57" s="119" t="str">
        <f aca="false">rechne.GesZins</f>
        <v> </v>
      </c>
      <c r="M57" s="119" t="str">
        <f aca="false">rechne.GesTilg</f>
        <v> </v>
      </c>
      <c r="N57" s="119" t="str">
        <f aca="false">rechne.GesAufwand</f>
        <v> </v>
      </c>
      <c r="O57" s="120"/>
      <c r="P57" s="117" t="str">
        <f aca="false">rechne.AnzMonate</f>
        <v> </v>
      </c>
      <c r="Q57" s="124"/>
      <c r="R57" s="126"/>
      <c r="S57" s="126"/>
      <c r="T57" s="126"/>
      <c r="U57" s="126"/>
      <c r="V57" s="126"/>
      <c r="W57" s="126"/>
      <c r="X57" s="126"/>
      <c r="Y57" s="126"/>
      <c r="Z57" s="126"/>
      <c r="AA57" s="126"/>
      <c r="AB57" s="126"/>
      <c r="AC57" s="126"/>
    </row>
    <row r="58" customFormat="false" ht="12" hidden="false" customHeight="false" outlineLevel="0" collapsed="false">
      <c r="A58" s="116"/>
      <c r="B58" s="116" t="n">
        <f aca="false">zeige.Jahr</f>
        <v>3</v>
      </c>
      <c r="C58" s="117" t="str">
        <f aca="false">zeige.Jahrtxt</f>
        <v> Jahre</v>
      </c>
      <c r="D58" s="116" t="n">
        <f aca="false">zeige.Monat</f>
        <v>4</v>
      </c>
      <c r="E58" s="117" t="str">
        <f aca="false">zeige.Monattxt</f>
        <v> Monate</v>
      </c>
      <c r="F58" s="123" t="n">
        <f aca="false">rechne.Zahlungstermine</f>
        <v>45016</v>
      </c>
      <c r="G58" s="119" t="str">
        <f aca="false">rechne.Restkredit</f>
        <v> </v>
      </c>
      <c r="H58" s="119" t="str">
        <f aca="false">rechne.Zinsen</f>
        <v> </v>
      </c>
      <c r="I58" s="119" t="str">
        <f aca="false">rechne.Tilgung</f>
        <v> </v>
      </c>
      <c r="J58" s="119" t="str">
        <f aca="false">rechne.Betrag</f>
        <v> </v>
      </c>
      <c r="K58" s="119"/>
      <c r="L58" s="119" t="str">
        <f aca="false">rechne.GesZins</f>
        <v> </v>
      </c>
      <c r="M58" s="119" t="str">
        <f aca="false">rechne.GesTilg</f>
        <v> </v>
      </c>
      <c r="N58" s="119" t="str">
        <f aca="false">rechne.GesAufwand</f>
        <v> </v>
      </c>
      <c r="O58" s="120"/>
      <c r="P58" s="117" t="str">
        <f aca="false">rechne.AnzMonate</f>
        <v> </v>
      </c>
      <c r="Q58" s="124"/>
      <c r="R58" s="126"/>
      <c r="S58" s="126"/>
      <c r="T58" s="126"/>
      <c r="U58" s="126"/>
      <c r="V58" s="126"/>
      <c r="W58" s="126"/>
      <c r="X58" s="126"/>
      <c r="Y58" s="126"/>
      <c r="Z58" s="126"/>
      <c r="AA58" s="126"/>
      <c r="AB58" s="126"/>
      <c r="AC58" s="126"/>
    </row>
    <row r="59" customFormat="false" ht="12" hidden="false" customHeight="false" outlineLevel="0" collapsed="false">
      <c r="A59" s="116"/>
      <c r="B59" s="116" t="n">
        <f aca="false">zeige.Jahr</f>
        <v>3</v>
      </c>
      <c r="C59" s="117" t="str">
        <f aca="false">zeige.Jahrtxt</f>
        <v> Jahre</v>
      </c>
      <c r="D59" s="116" t="n">
        <f aca="false">zeige.Monat</f>
        <v>5</v>
      </c>
      <c r="E59" s="117" t="str">
        <f aca="false">zeige.Monattxt</f>
        <v> Monate</v>
      </c>
      <c r="F59" s="123" t="n">
        <f aca="false">rechne.Zahlungstermine</f>
        <v>45046</v>
      </c>
      <c r="G59" s="119" t="str">
        <f aca="false">rechne.Restkredit</f>
        <v> </v>
      </c>
      <c r="H59" s="119" t="str">
        <f aca="false">rechne.Zinsen</f>
        <v> </v>
      </c>
      <c r="I59" s="119" t="str">
        <f aca="false">rechne.Tilgung</f>
        <v> </v>
      </c>
      <c r="J59" s="119" t="str">
        <f aca="false">rechne.Betrag</f>
        <v> </v>
      </c>
      <c r="K59" s="119"/>
      <c r="L59" s="119" t="str">
        <f aca="false">rechne.GesZins</f>
        <v> </v>
      </c>
      <c r="M59" s="119" t="str">
        <f aca="false">rechne.GesTilg</f>
        <v> </v>
      </c>
      <c r="N59" s="119" t="str">
        <f aca="false">rechne.GesAufwand</f>
        <v> </v>
      </c>
      <c r="O59" s="120"/>
      <c r="P59" s="117" t="str">
        <f aca="false">rechne.AnzMonate</f>
        <v> </v>
      </c>
      <c r="Q59" s="124"/>
      <c r="R59" s="126"/>
      <c r="S59" s="126"/>
      <c r="T59" s="126"/>
      <c r="U59" s="126"/>
      <c r="V59" s="126"/>
      <c r="W59" s="126"/>
      <c r="X59" s="126"/>
      <c r="Y59" s="126"/>
      <c r="Z59" s="126"/>
      <c r="AA59" s="126"/>
      <c r="AB59" s="126"/>
      <c r="AC59" s="126"/>
    </row>
    <row r="60" customFormat="false" ht="12" hidden="false" customHeight="false" outlineLevel="0" collapsed="false">
      <c r="A60" s="116"/>
      <c r="B60" s="116" t="n">
        <f aca="false">zeige.Jahr</f>
        <v>3</v>
      </c>
      <c r="C60" s="117" t="str">
        <f aca="false">zeige.Jahrtxt</f>
        <v> Jahre</v>
      </c>
      <c r="D60" s="116" t="n">
        <f aca="false">zeige.Monat</f>
        <v>6</v>
      </c>
      <c r="E60" s="117" t="str">
        <f aca="false">zeige.Monattxt</f>
        <v> Monate</v>
      </c>
      <c r="F60" s="123" t="n">
        <f aca="false">rechne.Zahlungstermine</f>
        <v>45077</v>
      </c>
      <c r="G60" s="119" t="str">
        <f aca="false">rechne.Restkredit</f>
        <v> </v>
      </c>
      <c r="H60" s="119" t="str">
        <f aca="false">rechne.Zinsen</f>
        <v> </v>
      </c>
      <c r="I60" s="119" t="str">
        <f aca="false">rechne.Tilgung</f>
        <v> </v>
      </c>
      <c r="J60" s="119" t="str">
        <f aca="false">rechne.Betrag</f>
        <v> </v>
      </c>
      <c r="K60" s="119"/>
      <c r="L60" s="119" t="str">
        <f aca="false">rechne.GesZins</f>
        <v> </v>
      </c>
      <c r="M60" s="119" t="str">
        <f aca="false">rechne.GesTilg</f>
        <v> </v>
      </c>
      <c r="N60" s="119" t="str">
        <f aca="false">rechne.GesAufwand</f>
        <v> </v>
      </c>
      <c r="O60" s="120"/>
      <c r="P60" s="117" t="str">
        <f aca="false">rechne.AnzMonate</f>
        <v> </v>
      </c>
      <c r="Q60" s="124"/>
      <c r="R60" s="126"/>
      <c r="S60" s="126"/>
      <c r="T60" s="126"/>
      <c r="U60" s="126"/>
      <c r="V60" s="126"/>
      <c r="W60" s="126"/>
      <c r="X60" s="126"/>
      <c r="Y60" s="126"/>
      <c r="Z60" s="126"/>
      <c r="AA60" s="126"/>
      <c r="AB60" s="126"/>
      <c r="AC60" s="126"/>
    </row>
    <row r="61" customFormat="false" ht="12" hidden="false" customHeight="false" outlineLevel="0" collapsed="false">
      <c r="A61" s="116"/>
      <c r="B61" s="116" t="n">
        <f aca="false">zeige.Jahr</f>
        <v>3</v>
      </c>
      <c r="C61" s="117" t="str">
        <f aca="false">zeige.Jahrtxt</f>
        <v> Jahre</v>
      </c>
      <c r="D61" s="116" t="n">
        <f aca="false">zeige.Monat</f>
        <v>7</v>
      </c>
      <c r="E61" s="117" t="str">
        <f aca="false">zeige.Monattxt</f>
        <v> Monate</v>
      </c>
      <c r="F61" s="123" t="n">
        <f aca="false">rechne.Zahlungstermine</f>
        <v>45107</v>
      </c>
      <c r="G61" s="119" t="str">
        <f aca="false">rechne.Restkredit</f>
        <v> </v>
      </c>
      <c r="H61" s="119" t="str">
        <f aca="false">rechne.Zinsen</f>
        <v> </v>
      </c>
      <c r="I61" s="119" t="str">
        <f aca="false">rechne.Tilgung</f>
        <v> </v>
      </c>
      <c r="J61" s="119" t="str">
        <f aca="false">rechne.Betrag</f>
        <v> </v>
      </c>
      <c r="K61" s="119"/>
      <c r="L61" s="119" t="str">
        <f aca="false">rechne.GesZins</f>
        <v> </v>
      </c>
      <c r="M61" s="119" t="str">
        <f aca="false">rechne.GesTilg</f>
        <v> </v>
      </c>
      <c r="N61" s="119" t="str">
        <f aca="false">rechne.GesAufwand</f>
        <v> </v>
      </c>
      <c r="O61" s="120"/>
      <c r="P61" s="117" t="str">
        <f aca="false">rechne.AnzMonate</f>
        <v> </v>
      </c>
      <c r="Q61" s="124"/>
      <c r="R61" s="126"/>
      <c r="S61" s="126"/>
      <c r="T61" s="126"/>
      <c r="U61" s="126"/>
      <c r="V61" s="126"/>
      <c r="W61" s="126"/>
      <c r="X61" s="126"/>
      <c r="Y61" s="126"/>
      <c r="Z61" s="126"/>
      <c r="AA61" s="126"/>
      <c r="AB61" s="126"/>
      <c r="AC61" s="126"/>
    </row>
    <row r="62" customFormat="false" ht="12" hidden="false" customHeight="false" outlineLevel="0" collapsed="false">
      <c r="A62" s="116"/>
      <c r="B62" s="116" t="n">
        <f aca="false">zeige.Jahr</f>
        <v>3</v>
      </c>
      <c r="C62" s="117" t="str">
        <f aca="false">zeige.Jahrtxt</f>
        <v> Jahre</v>
      </c>
      <c r="D62" s="116" t="n">
        <f aca="false">zeige.Monat</f>
        <v>8</v>
      </c>
      <c r="E62" s="117" t="str">
        <f aca="false">zeige.Monattxt</f>
        <v> Monate</v>
      </c>
      <c r="F62" s="123" t="n">
        <f aca="false">rechne.Zahlungstermine</f>
        <v>45138</v>
      </c>
      <c r="G62" s="119" t="str">
        <f aca="false">rechne.Restkredit</f>
        <v> </v>
      </c>
      <c r="H62" s="119" t="str">
        <f aca="false">rechne.Zinsen</f>
        <v> </v>
      </c>
      <c r="I62" s="119" t="str">
        <f aca="false">rechne.Tilgung</f>
        <v> </v>
      </c>
      <c r="J62" s="119" t="str">
        <f aca="false">rechne.Betrag</f>
        <v> </v>
      </c>
      <c r="K62" s="119"/>
      <c r="L62" s="119" t="str">
        <f aca="false">rechne.GesZins</f>
        <v> </v>
      </c>
      <c r="M62" s="119" t="str">
        <f aca="false">rechne.GesTilg</f>
        <v> </v>
      </c>
      <c r="N62" s="119" t="str">
        <f aca="false">rechne.GesAufwand</f>
        <v> </v>
      </c>
      <c r="O62" s="120"/>
      <c r="P62" s="117" t="str">
        <f aca="false">rechne.AnzMonate</f>
        <v> </v>
      </c>
      <c r="Q62" s="124"/>
      <c r="R62" s="126"/>
      <c r="S62" s="126"/>
      <c r="T62" s="126"/>
      <c r="U62" s="126"/>
      <c r="V62" s="126"/>
      <c r="W62" s="126"/>
      <c r="X62" s="126"/>
      <c r="Y62" s="126"/>
      <c r="Z62" s="126"/>
      <c r="AA62" s="126"/>
      <c r="AB62" s="126"/>
      <c r="AC62" s="126"/>
    </row>
    <row r="63" customFormat="false" ht="12" hidden="false" customHeight="false" outlineLevel="0" collapsed="false">
      <c r="A63" s="116"/>
      <c r="B63" s="116" t="n">
        <f aca="false">zeige.Jahr</f>
        <v>3</v>
      </c>
      <c r="C63" s="117" t="str">
        <f aca="false">zeige.Jahrtxt</f>
        <v> Jahre</v>
      </c>
      <c r="D63" s="116" t="n">
        <f aca="false">zeige.Monat</f>
        <v>9</v>
      </c>
      <c r="E63" s="117" t="str">
        <f aca="false">zeige.Monattxt</f>
        <v> Monate</v>
      </c>
      <c r="F63" s="123" t="n">
        <f aca="false">rechne.Zahlungstermine</f>
        <v>45169</v>
      </c>
      <c r="G63" s="119" t="str">
        <f aca="false">rechne.Restkredit</f>
        <v> </v>
      </c>
      <c r="H63" s="119" t="str">
        <f aca="false">rechne.Zinsen</f>
        <v> </v>
      </c>
      <c r="I63" s="119" t="str">
        <f aca="false">rechne.Tilgung</f>
        <v> </v>
      </c>
      <c r="J63" s="119" t="str">
        <f aca="false">rechne.Betrag</f>
        <v> </v>
      </c>
      <c r="K63" s="119"/>
      <c r="L63" s="119" t="str">
        <f aca="false">rechne.GesZins</f>
        <v> </v>
      </c>
      <c r="M63" s="119" t="str">
        <f aca="false">rechne.GesTilg</f>
        <v> </v>
      </c>
      <c r="N63" s="119" t="str">
        <f aca="false">rechne.GesAufwand</f>
        <v> </v>
      </c>
      <c r="O63" s="120"/>
      <c r="P63" s="117" t="str">
        <f aca="false">rechne.AnzMonate</f>
        <v> </v>
      </c>
      <c r="Q63" s="124"/>
      <c r="R63" s="126"/>
      <c r="S63" s="126"/>
      <c r="T63" s="126"/>
      <c r="U63" s="126"/>
      <c r="V63" s="126"/>
      <c r="W63" s="126"/>
      <c r="X63" s="126"/>
      <c r="Y63" s="126"/>
      <c r="Z63" s="126"/>
      <c r="AA63" s="126"/>
      <c r="AB63" s="126"/>
      <c r="AC63" s="126"/>
    </row>
    <row r="64" customFormat="false" ht="12" hidden="false" customHeight="false" outlineLevel="0" collapsed="false">
      <c r="A64" s="116"/>
      <c r="B64" s="116" t="n">
        <f aca="false">zeige.Jahr</f>
        <v>3</v>
      </c>
      <c r="C64" s="117" t="str">
        <f aca="false">zeige.Jahrtxt</f>
        <v> Jahre</v>
      </c>
      <c r="D64" s="116" t="n">
        <f aca="false">zeige.Monat</f>
        <v>10</v>
      </c>
      <c r="E64" s="117" t="str">
        <f aca="false">zeige.Monattxt</f>
        <v> Monate</v>
      </c>
      <c r="F64" s="123" t="n">
        <f aca="false">rechne.Zahlungstermine</f>
        <v>45199</v>
      </c>
      <c r="G64" s="119" t="str">
        <f aca="false">rechne.Restkredit</f>
        <v> </v>
      </c>
      <c r="H64" s="119" t="str">
        <f aca="false">rechne.Zinsen</f>
        <v> </v>
      </c>
      <c r="I64" s="119" t="str">
        <f aca="false">rechne.Tilgung</f>
        <v> </v>
      </c>
      <c r="J64" s="119" t="str">
        <f aca="false">rechne.Betrag</f>
        <v> </v>
      </c>
      <c r="K64" s="119"/>
      <c r="L64" s="119" t="str">
        <f aca="false">rechne.GesZins</f>
        <v> </v>
      </c>
      <c r="M64" s="119" t="str">
        <f aca="false">rechne.GesTilg</f>
        <v> </v>
      </c>
      <c r="N64" s="119" t="str">
        <f aca="false">rechne.GesAufwand</f>
        <v> </v>
      </c>
      <c r="O64" s="120"/>
      <c r="P64" s="117" t="str">
        <f aca="false">rechne.AnzMonate</f>
        <v> </v>
      </c>
      <c r="Q64" s="124"/>
      <c r="R64" s="126"/>
      <c r="S64" s="126"/>
      <c r="T64" s="126"/>
      <c r="U64" s="126"/>
      <c r="V64" s="126"/>
      <c r="W64" s="126"/>
      <c r="X64" s="126"/>
      <c r="Y64" s="126"/>
      <c r="Z64" s="126"/>
      <c r="AA64" s="126"/>
      <c r="AB64" s="126"/>
      <c r="AC64" s="126"/>
    </row>
    <row r="65" customFormat="false" ht="12" hidden="false" customHeight="false" outlineLevel="0" collapsed="false">
      <c r="A65" s="116"/>
      <c r="B65" s="116" t="n">
        <f aca="false">zeige.Jahr</f>
        <v>3</v>
      </c>
      <c r="C65" s="117" t="str">
        <f aca="false">zeige.Jahrtxt</f>
        <v> Jahre</v>
      </c>
      <c r="D65" s="116" t="n">
        <f aca="false">zeige.Monat</f>
        <v>11</v>
      </c>
      <c r="E65" s="117" t="str">
        <f aca="false">zeige.Monattxt</f>
        <v> Monate</v>
      </c>
      <c r="F65" s="123" t="n">
        <f aca="false">rechne.Zahlungstermine</f>
        <v>45230</v>
      </c>
      <c r="G65" s="119" t="str">
        <f aca="false">rechne.Restkredit</f>
        <v> </v>
      </c>
      <c r="H65" s="119" t="str">
        <f aca="false">rechne.Zinsen</f>
        <v> </v>
      </c>
      <c r="I65" s="119" t="str">
        <f aca="false">rechne.Tilgung</f>
        <v> </v>
      </c>
      <c r="J65" s="119" t="str">
        <f aca="false">rechne.Betrag</f>
        <v> </v>
      </c>
      <c r="K65" s="119"/>
      <c r="L65" s="119" t="str">
        <f aca="false">rechne.GesZins</f>
        <v> </v>
      </c>
      <c r="M65" s="119" t="str">
        <f aca="false">rechne.GesTilg</f>
        <v> </v>
      </c>
      <c r="N65" s="119" t="str">
        <f aca="false">rechne.GesAufwand</f>
        <v> </v>
      </c>
      <c r="O65" s="120"/>
      <c r="P65" s="117" t="str">
        <f aca="false">rechne.AnzMonate</f>
        <v> </v>
      </c>
      <c r="Q65" s="124"/>
      <c r="R65" s="126"/>
      <c r="S65" s="126"/>
      <c r="T65" s="126"/>
      <c r="U65" s="126"/>
      <c r="V65" s="126"/>
      <c r="W65" s="126"/>
      <c r="X65" s="126"/>
      <c r="Y65" s="126"/>
      <c r="Z65" s="126"/>
      <c r="AA65" s="126"/>
      <c r="AB65" s="126"/>
      <c r="AC65" s="126"/>
    </row>
    <row r="66" customFormat="false" ht="12" hidden="false" customHeight="false" outlineLevel="0" collapsed="false">
      <c r="A66" s="116"/>
      <c r="B66" s="116" t="n">
        <f aca="false">zeige.Jahr</f>
        <v>4</v>
      </c>
      <c r="C66" s="117" t="str">
        <f aca="false">zeige.Jahrtxt</f>
        <v> Jahre</v>
      </c>
      <c r="D66" s="116" t="n">
        <f aca="false">zeige.Monat</f>
        <v>0</v>
      </c>
      <c r="E66" s="117" t="str">
        <f aca="false">zeige.Monattxt</f>
        <v> </v>
      </c>
      <c r="F66" s="123" t="n">
        <f aca="false">rechne.Zahlungstermine</f>
        <v>45260</v>
      </c>
      <c r="G66" s="119" t="str">
        <f aca="false">rechne.Restkredit</f>
        <v> </v>
      </c>
      <c r="H66" s="119" t="str">
        <f aca="false">rechne.Zinsen</f>
        <v> </v>
      </c>
      <c r="I66" s="119" t="str">
        <f aca="false">rechne.Tilgung</f>
        <v> </v>
      </c>
      <c r="J66" s="119" t="str">
        <f aca="false">rechne.Betrag</f>
        <v> </v>
      </c>
      <c r="K66" s="119"/>
      <c r="L66" s="119" t="str">
        <f aca="false">rechne.GesZins</f>
        <v> </v>
      </c>
      <c r="M66" s="119" t="str">
        <f aca="false">rechne.GesTilg</f>
        <v> </v>
      </c>
      <c r="N66" s="119" t="str">
        <f aca="false">rechne.GesAufwand</f>
        <v> </v>
      </c>
      <c r="O66" s="120"/>
      <c r="P66" s="117" t="str">
        <f aca="false">rechne.AnzMonate</f>
        <v> </v>
      </c>
      <c r="Q66" s="124"/>
      <c r="R66" s="126"/>
      <c r="S66" s="126"/>
      <c r="T66" s="126"/>
      <c r="U66" s="126"/>
      <c r="V66" s="126"/>
      <c r="W66" s="126"/>
      <c r="X66" s="126"/>
      <c r="Y66" s="126"/>
      <c r="Z66" s="126"/>
      <c r="AA66" s="126"/>
      <c r="AB66" s="126"/>
      <c r="AC66" s="126"/>
    </row>
    <row r="67" customFormat="false" ht="12" hidden="false" customHeight="false" outlineLevel="0" collapsed="false">
      <c r="A67" s="116"/>
      <c r="B67" s="116" t="n">
        <f aca="false">zeige.Jahr</f>
        <v>4</v>
      </c>
      <c r="C67" s="117" t="str">
        <f aca="false">zeige.Jahrtxt</f>
        <v> Jahre</v>
      </c>
      <c r="D67" s="116" t="n">
        <f aca="false">zeige.Monat</f>
        <v>1</v>
      </c>
      <c r="E67" s="117" t="str">
        <f aca="false">zeige.Monattxt</f>
        <v> Monat</v>
      </c>
      <c r="F67" s="123" t="n">
        <f aca="false">rechne.Zahlungstermine</f>
        <v>45291</v>
      </c>
      <c r="G67" s="119" t="str">
        <f aca="false">rechne.Restkredit</f>
        <v> </v>
      </c>
      <c r="H67" s="119" t="str">
        <f aca="false">rechne.Zinsen</f>
        <v> </v>
      </c>
      <c r="I67" s="119" t="str">
        <f aca="false">rechne.Tilgung</f>
        <v> </v>
      </c>
      <c r="J67" s="119" t="str">
        <f aca="false">rechne.Betrag</f>
        <v> </v>
      </c>
      <c r="K67" s="119"/>
      <c r="L67" s="119" t="str">
        <f aca="false">rechne.GesZins</f>
        <v> </v>
      </c>
      <c r="M67" s="119" t="str">
        <f aca="false">rechne.GesTilg</f>
        <v> </v>
      </c>
      <c r="N67" s="119" t="str">
        <f aca="false">rechne.GesAufwand</f>
        <v> </v>
      </c>
      <c r="O67" s="120"/>
      <c r="P67" s="117" t="str">
        <f aca="false">rechne.AnzMonate</f>
        <v> </v>
      </c>
      <c r="Q67" s="124"/>
      <c r="R67" s="126"/>
      <c r="S67" s="126"/>
      <c r="T67" s="126"/>
      <c r="U67" s="126"/>
      <c r="V67" s="126"/>
      <c r="W67" s="126"/>
      <c r="X67" s="126"/>
      <c r="Y67" s="126"/>
      <c r="Z67" s="126"/>
      <c r="AA67" s="126"/>
      <c r="AB67" s="126"/>
      <c r="AC67" s="126"/>
    </row>
    <row r="68" customFormat="false" ht="12" hidden="false" customHeight="false" outlineLevel="0" collapsed="false">
      <c r="A68" s="116"/>
      <c r="B68" s="116" t="n">
        <f aca="false">zeige.Jahr</f>
        <v>4</v>
      </c>
      <c r="C68" s="117" t="str">
        <f aca="false">zeige.Jahrtxt</f>
        <v> Jahre</v>
      </c>
      <c r="D68" s="116" t="n">
        <f aca="false">zeige.Monat</f>
        <v>2</v>
      </c>
      <c r="E68" s="117" t="str">
        <f aca="false">zeige.Monattxt</f>
        <v> Monate</v>
      </c>
      <c r="F68" s="123" t="n">
        <f aca="false">rechne.Zahlungstermine</f>
        <v>45322</v>
      </c>
      <c r="G68" s="119" t="str">
        <f aca="false">rechne.Restkredit</f>
        <v> </v>
      </c>
      <c r="H68" s="119" t="str">
        <f aca="false">rechne.Zinsen</f>
        <v> </v>
      </c>
      <c r="I68" s="119" t="str">
        <f aca="false">rechne.Tilgung</f>
        <v> </v>
      </c>
      <c r="J68" s="119" t="str">
        <f aca="false">rechne.Betrag</f>
        <v> </v>
      </c>
      <c r="K68" s="119"/>
      <c r="L68" s="119" t="str">
        <f aca="false">rechne.GesZins</f>
        <v> </v>
      </c>
      <c r="M68" s="119" t="str">
        <f aca="false">rechne.GesTilg</f>
        <v> </v>
      </c>
      <c r="N68" s="119" t="str">
        <f aca="false">rechne.GesAufwand</f>
        <v> </v>
      </c>
      <c r="O68" s="120"/>
      <c r="P68" s="117" t="str">
        <f aca="false">rechne.AnzMonate</f>
        <v> </v>
      </c>
      <c r="Q68" s="124"/>
      <c r="R68" s="126"/>
      <c r="S68" s="126"/>
      <c r="T68" s="126"/>
      <c r="U68" s="126"/>
      <c r="V68" s="126"/>
      <c r="W68" s="126"/>
      <c r="X68" s="126"/>
      <c r="Y68" s="126"/>
      <c r="Z68" s="126"/>
      <c r="AA68" s="126"/>
      <c r="AB68" s="126"/>
      <c r="AC68" s="126"/>
    </row>
    <row r="69" customFormat="false" ht="12" hidden="false" customHeight="false" outlineLevel="0" collapsed="false">
      <c r="A69" s="116"/>
      <c r="B69" s="116" t="n">
        <f aca="false">zeige.Jahr</f>
        <v>4</v>
      </c>
      <c r="C69" s="117" t="str">
        <f aca="false">zeige.Jahrtxt</f>
        <v> Jahre</v>
      </c>
      <c r="D69" s="116" t="n">
        <f aca="false">zeige.Monat</f>
        <v>3</v>
      </c>
      <c r="E69" s="117" t="str">
        <f aca="false">zeige.Monattxt</f>
        <v> Monate</v>
      </c>
      <c r="F69" s="123" t="n">
        <f aca="false">rechne.Zahlungstermine</f>
        <v>45351</v>
      </c>
      <c r="G69" s="119" t="str">
        <f aca="false">rechne.Restkredit</f>
        <v> </v>
      </c>
      <c r="H69" s="119" t="str">
        <f aca="false">rechne.Zinsen</f>
        <v> </v>
      </c>
      <c r="I69" s="119" t="str">
        <f aca="false">rechne.Tilgung</f>
        <v> </v>
      </c>
      <c r="J69" s="119" t="str">
        <f aca="false">rechne.Betrag</f>
        <v> </v>
      </c>
      <c r="K69" s="119"/>
      <c r="L69" s="119" t="str">
        <f aca="false">rechne.GesZins</f>
        <v> </v>
      </c>
      <c r="M69" s="119" t="str">
        <f aca="false">rechne.GesTilg</f>
        <v> </v>
      </c>
      <c r="N69" s="119" t="str">
        <f aca="false">rechne.GesAufwand</f>
        <v> </v>
      </c>
      <c r="O69" s="120"/>
      <c r="P69" s="117" t="str">
        <f aca="false">rechne.AnzMonate</f>
        <v> </v>
      </c>
      <c r="Q69" s="124"/>
      <c r="R69" s="126"/>
      <c r="S69" s="126"/>
      <c r="T69" s="126"/>
      <c r="U69" s="126"/>
      <c r="V69" s="126"/>
      <c r="W69" s="126"/>
      <c r="X69" s="126"/>
      <c r="Y69" s="126"/>
      <c r="Z69" s="126"/>
      <c r="AA69" s="126"/>
      <c r="AB69" s="126"/>
      <c r="AC69" s="126"/>
    </row>
    <row r="70" customFormat="false" ht="12" hidden="false" customHeight="false" outlineLevel="0" collapsed="false">
      <c r="A70" s="116"/>
      <c r="B70" s="116" t="n">
        <f aca="false">zeige.Jahr</f>
        <v>4</v>
      </c>
      <c r="C70" s="117" t="str">
        <f aca="false">zeige.Jahrtxt</f>
        <v> Jahre</v>
      </c>
      <c r="D70" s="116" t="n">
        <f aca="false">zeige.Monat</f>
        <v>4</v>
      </c>
      <c r="E70" s="117" t="str">
        <f aca="false">zeige.Monattxt</f>
        <v> Monate</v>
      </c>
      <c r="F70" s="123" t="n">
        <f aca="false">rechne.Zahlungstermine</f>
        <v>45382</v>
      </c>
      <c r="G70" s="119" t="str">
        <f aca="false">rechne.Restkredit</f>
        <v> </v>
      </c>
      <c r="H70" s="119" t="str">
        <f aca="false">rechne.Zinsen</f>
        <v> </v>
      </c>
      <c r="I70" s="119" t="str">
        <f aca="false">rechne.Tilgung</f>
        <v> </v>
      </c>
      <c r="J70" s="119" t="str">
        <f aca="false">rechne.Betrag</f>
        <v> </v>
      </c>
      <c r="K70" s="119"/>
      <c r="L70" s="119" t="str">
        <f aca="false">rechne.GesZins</f>
        <v> </v>
      </c>
      <c r="M70" s="119" t="str">
        <f aca="false">rechne.GesTilg</f>
        <v> </v>
      </c>
      <c r="N70" s="119" t="str">
        <f aca="false">rechne.GesAufwand</f>
        <v> </v>
      </c>
      <c r="O70" s="120"/>
      <c r="P70" s="117" t="str">
        <f aca="false">rechne.AnzMonate</f>
        <v> </v>
      </c>
      <c r="Q70" s="124"/>
      <c r="R70" s="126"/>
      <c r="S70" s="126"/>
      <c r="T70" s="126"/>
      <c r="U70" s="126"/>
      <c r="V70" s="126"/>
      <c r="W70" s="126"/>
      <c r="X70" s="126"/>
      <c r="Y70" s="126"/>
      <c r="Z70" s="126"/>
      <c r="AA70" s="126"/>
      <c r="AB70" s="126"/>
      <c r="AC70" s="126"/>
    </row>
    <row r="71" customFormat="false" ht="12" hidden="false" customHeight="false" outlineLevel="0" collapsed="false">
      <c r="A71" s="116"/>
      <c r="B71" s="116" t="n">
        <f aca="false">zeige.Jahr</f>
        <v>4</v>
      </c>
      <c r="C71" s="117" t="str">
        <f aca="false">zeige.Jahrtxt</f>
        <v> Jahre</v>
      </c>
      <c r="D71" s="116" t="n">
        <f aca="false">zeige.Monat</f>
        <v>5</v>
      </c>
      <c r="E71" s="117" t="str">
        <f aca="false">zeige.Monattxt</f>
        <v> Monate</v>
      </c>
      <c r="F71" s="123" t="n">
        <f aca="false">rechne.Zahlungstermine</f>
        <v>45412</v>
      </c>
      <c r="G71" s="119" t="str">
        <f aca="false">rechne.Restkredit</f>
        <v> </v>
      </c>
      <c r="H71" s="119" t="str">
        <f aca="false">rechne.Zinsen</f>
        <v> </v>
      </c>
      <c r="I71" s="119" t="str">
        <f aca="false">rechne.Tilgung</f>
        <v> </v>
      </c>
      <c r="J71" s="119" t="str">
        <f aca="false">rechne.Betrag</f>
        <v> </v>
      </c>
      <c r="K71" s="119"/>
      <c r="L71" s="119" t="str">
        <f aca="false">rechne.GesZins</f>
        <v> </v>
      </c>
      <c r="M71" s="119" t="str">
        <f aca="false">rechne.GesTilg</f>
        <v> </v>
      </c>
      <c r="N71" s="119" t="str">
        <f aca="false">rechne.GesAufwand</f>
        <v> </v>
      </c>
      <c r="O71" s="120"/>
      <c r="P71" s="117" t="str">
        <f aca="false">rechne.AnzMonate</f>
        <v> </v>
      </c>
      <c r="Q71" s="124"/>
      <c r="R71" s="126"/>
      <c r="S71" s="126"/>
      <c r="T71" s="126"/>
      <c r="U71" s="126"/>
      <c r="V71" s="126"/>
      <c r="W71" s="126"/>
      <c r="X71" s="126"/>
      <c r="Y71" s="126"/>
      <c r="Z71" s="126"/>
      <c r="AA71" s="126"/>
      <c r="AB71" s="126"/>
      <c r="AC71" s="126"/>
    </row>
    <row r="72" customFormat="false" ht="12" hidden="false" customHeight="false" outlineLevel="0" collapsed="false">
      <c r="A72" s="116"/>
      <c r="B72" s="116" t="n">
        <f aca="false">zeige.Jahr</f>
        <v>4</v>
      </c>
      <c r="C72" s="117" t="str">
        <f aca="false">zeige.Jahrtxt</f>
        <v> Jahre</v>
      </c>
      <c r="D72" s="116" t="n">
        <f aca="false">zeige.Monat</f>
        <v>6</v>
      </c>
      <c r="E72" s="117" t="str">
        <f aca="false">zeige.Monattxt</f>
        <v> Monate</v>
      </c>
      <c r="F72" s="123" t="n">
        <f aca="false">rechne.Zahlungstermine</f>
        <v>45443</v>
      </c>
      <c r="G72" s="119" t="str">
        <f aca="false">rechne.Restkredit</f>
        <v> </v>
      </c>
      <c r="H72" s="119" t="str">
        <f aca="false">rechne.Zinsen</f>
        <v> </v>
      </c>
      <c r="I72" s="119" t="str">
        <f aca="false">rechne.Tilgung</f>
        <v> </v>
      </c>
      <c r="J72" s="119" t="str">
        <f aca="false">rechne.Betrag</f>
        <v> </v>
      </c>
      <c r="K72" s="119"/>
      <c r="L72" s="119" t="str">
        <f aca="false">rechne.GesZins</f>
        <v> </v>
      </c>
      <c r="M72" s="119" t="str">
        <f aca="false">rechne.GesTilg</f>
        <v> </v>
      </c>
      <c r="N72" s="119" t="str">
        <f aca="false">rechne.GesAufwand</f>
        <v> </v>
      </c>
      <c r="O72" s="120"/>
      <c r="P72" s="117" t="str">
        <f aca="false">rechne.AnzMonate</f>
        <v> </v>
      </c>
      <c r="Q72" s="124"/>
      <c r="R72" s="126"/>
      <c r="S72" s="126"/>
      <c r="T72" s="126"/>
      <c r="U72" s="126"/>
      <c r="V72" s="126"/>
      <c r="W72" s="126"/>
      <c r="X72" s="126"/>
      <c r="Y72" s="126"/>
      <c r="Z72" s="126"/>
      <c r="AA72" s="126"/>
      <c r="AB72" s="126"/>
      <c r="AC72" s="126"/>
    </row>
    <row r="73" customFormat="false" ht="12" hidden="false" customHeight="false" outlineLevel="0" collapsed="false">
      <c r="A73" s="116"/>
      <c r="B73" s="116" t="n">
        <f aca="false">zeige.Jahr</f>
        <v>4</v>
      </c>
      <c r="C73" s="117" t="str">
        <f aca="false">zeige.Jahrtxt</f>
        <v> Jahre</v>
      </c>
      <c r="D73" s="116" t="n">
        <f aca="false">zeige.Monat</f>
        <v>7</v>
      </c>
      <c r="E73" s="117" t="str">
        <f aca="false">zeige.Monattxt</f>
        <v> Monate</v>
      </c>
      <c r="F73" s="123" t="n">
        <f aca="false">rechne.Zahlungstermine</f>
        <v>45473</v>
      </c>
      <c r="G73" s="119" t="str">
        <f aca="false">rechne.Restkredit</f>
        <v> </v>
      </c>
      <c r="H73" s="119" t="str">
        <f aca="false">rechne.Zinsen</f>
        <v> </v>
      </c>
      <c r="I73" s="119" t="str">
        <f aca="false">rechne.Tilgung</f>
        <v> </v>
      </c>
      <c r="J73" s="119" t="str">
        <f aca="false">rechne.Betrag</f>
        <v> </v>
      </c>
      <c r="K73" s="119"/>
      <c r="L73" s="119" t="str">
        <f aca="false">rechne.GesZins</f>
        <v> </v>
      </c>
      <c r="M73" s="119" t="str">
        <f aca="false">rechne.GesTilg</f>
        <v> </v>
      </c>
      <c r="N73" s="119" t="str">
        <f aca="false">rechne.GesAufwand</f>
        <v> </v>
      </c>
      <c r="O73" s="120"/>
      <c r="P73" s="117" t="str">
        <f aca="false">rechne.AnzMonate</f>
        <v> </v>
      </c>
      <c r="Q73" s="124"/>
      <c r="R73" s="126"/>
      <c r="S73" s="126"/>
      <c r="T73" s="126"/>
      <c r="U73" s="126"/>
      <c r="V73" s="126"/>
      <c r="W73" s="126"/>
      <c r="X73" s="126"/>
      <c r="Y73" s="126"/>
      <c r="Z73" s="126"/>
      <c r="AA73" s="126"/>
      <c r="AB73" s="126"/>
      <c r="AC73" s="126"/>
    </row>
    <row r="74" customFormat="false" ht="12" hidden="false" customHeight="false" outlineLevel="0" collapsed="false">
      <c r="A74" s="116"/>
      <c r="B74" s="116" t="n">
        <f aca="false">zeige.Jahr</f>
        <v>4</v>
      </c>
      <c r="C74" s="117" t="str">
        <f aca="false">zeige.Jahrtxt</f>
        <v> Jahre</v>
      </c>
      <c r="D74" s="116" t="n">
        <f aca="false">zeige.Monat</f>
        <v>8</v>
      </c>
      <c r="E74" s="117" t="str">
        <f aca="false">zeige.Monattxt</f>
        <v> Monate</v>
      </c>
      <c r="F74" s="123" t="n">
        <f aca="false">rechne.Zahlungstermine</f>
        <v>45504</v>
      </c>
      <c r="G74" s="119" t="str">
        <f aca="false">rechne.Restkredit</f>
        <v> </v>
      </c>
      <c r="H74" s="119" t="str">
        <f aca="false">rechne.Zinsen</f>
        <v> </v>
      </c>
      <c r="I74" s="119" t="str">
        <f aca="false">rechne.Tilgung</f>
        <v> </v>
      </c>
      <c r="J74" s="119" t="str">
        <f aca="false">rechne.Betrag</f>
        <v> </v>
      </c>
      <c r="K74" s="119"/>
      <c r="L74" s="119" t="str">
        <f aca="false">rechne.GesZins</f>
        <v> </v>
      </c>
      <c r="M74" s="119" t="str">
        <f aca="false">rechne.GesTilg</f>
        <v> </v>
      </c>
      <c r="N74" s="119" t="str">
        <f aca="false">rechne.GesAufwand</f>
        <v> </v>
      </c>
      <c r="O74" s="120"/>
      <c r="P74" s="117" t="str">
        <f aca="false">rechne.AnzMonate</f>
        <v> </v>
      </c>
      <c r="Q74" s="124"/>
      <c r="R74" s="126"/>
      <c r="S74" s="126"/>
      <c r="T74" s="126"/>
      <c r="U74" s="126"/>
      <c r="V74" s="126"/>
      <c r="W74" s="126"/>
      <c r="X74" s="126"/>
      <c r="Y74" s="126"/>
      <c r="Z74" s="126"/>
      <c r="AA74" s="126"/>
      <c r="AB74" s="126"/>
      <c r="AC74" s="126"/>
    </row>
    <row r="75" customFormat="false" ht="12" hidden="false" customHeight="false" outlineLevel="0" collapsed="false">
      <c r="A75" s="116"/>
      <c r="B75" s="116" t="n">
        <f aca="false">zeige.Jahr</f>
        <v>4</v>
      </c>
      <c r="C75" s="117" t="str">
        <f aca="false">zeige.Jahrtxt</f>
        <v> Jahre</v>
      </c>
      <c r="D75" s="116" t="n">
        <f aca="false">zeige.Monat</f>
        <v>9</v>
      </c>
      <c r="E75" s="117" t="str">
        <f aca="false">zeige.Monattxt</f>
        <v> Monate</v>
      </c>
      <c r="F75" s="123" t="n">
        <f aca="false">rechne.Zahlungstermine</f>
        <v>45535</v>
      </c>
      <c r="G75" s="119" t="str">
        <f aca="false">rechne.Restkredit</f>
        <v> </v>
      </c>
      <c r="H75" s="119" t="str">
        <f aca="false">rechne.Zinsen</f>
        <v> </v>
      </c>
      <c r="I75" s="119" t="str">
        <f aca="false">rechne.Tilgung</f>
        <v> </v>
      </c>
      <c r="J75" s="119" t="str">
        <f aca="false">rechne.Betrag</f>
        <v> </v>
      </c>
      <c r="K75" s="119"/>
      <c r="L75" s="119" t="str">
        <f aca="false">rechne.GesZins</f>
        <v> </v>
      </c>
      <c r="M75" s="119" t="str">
        <f aca="false">rechne.GesTilg</f>
        <v> </v>
      </c>
      <c r="N75" s="119" t="str">
        <f aca="false">rechne.GesAufwand</f>
        <v> </v>
      </c>
      <c r="O75" s="120"/>
      <c r="P75" s="117" t="str">
        <f aca="false">rechne.AnzMonate</f>
        <v> </v>
      </c>
      <c r="Q75" s="124"/>
      <c r="R75" s="126"/>
      <c r="S75" s="126"/>
      <c r="T75" s="126"/>
      <c r="U75" s="126"/>
      <c r="V75" s="126"/>
      <c r="W75" s="126"/>
      <c r="X75" s="126"/>
      <c r="Y75" s="126"/>
      <c r="Z75" s="126"/>
      <c r="AA75" s="126"/>
      <c r="AB75" s="126"/>
      <c r="AC75" s="126"/>
    </row>
    <row r="76" customFormat="false" ht="12" hidden="false" customHeight="false" outlineLevel="0" collapsed="false">
      <c r="A76" s="116"/>
      <c r="B76" s="116" t="n">
        <f aca="false">zeige.Jahr</f>
        <v>4</v>
      </c>
      <c r="C76" s="117" t="str">
        <f aca="false">zeige.Jahrtxt</f>
        <v> Jahre</v>
      </c>
      <c r="D76" s="116" t="n">
        <f aca="false">zeige.Monat</f>
        <v>10</v>
      </c>
      <c r="E76" s="117" t="str">
        <f aca="false">zeige.Monattxt</f>
        <v> Monate</v>
      </c>
      <c r="F76" s="123" t="n">
        <f aca="false">rechne.Zahlungstermine</f>
        <v>45565</v>
      </c>
      <c r="G76" s="119" t="str">
        <f aca="false">rechne.Restkredit</f>
        <v> </v>
      </c>
      <c r="H76" s="119" t="str">
        <f aca="false">rechne.Zinsen</f>
        <v> </v>
      </c>
      <c r="I76" s="119" t="str">
        <f aca="false">rechne.Tilgung</f>
        <v> </v>
      </c>
      <c r="J76" s="119" t="str">
        <f aca="false">rechne.Betrag</f>
        <v> </v>
      </c>
      <c r="K76" s="119"/>
      <c r="L76" s="119" t="str">
        <f aca="false">rechne.GesZins</f>
        <v> </v>
      </c>
      <c r="M76" s="119" t="str">
        <f aca="false">rechne.GesTilg</f>
        <v> </v>
      </c>
      <c r="N76" s="119" t="str">
        <f aca="false">rechne.GesAufwand</f>
        <v> </v>
      </c>
      <c r="O76" s="120"/>
      <c r="P76" s="117" t="str">
        <f aca="false">rechne.AnzMonate</f>
        <v> </v>
      </c>
      <c r="Q76" s="124"/>
      <c r="R76" s="126"/>
      <c r="S76" s="126"/>
      <c r="T76" s="126"/>
      <c r="U76" s="126"/>
      <c r="V76" s="126"/>
      <c r="W76" s="126"/>
      <c r="X76" s="126"/>
      <c r="Y76" s="126"/>
      <c r="Z76" s="126"/>
      <c r="AA76" s="126"/>
      <c r="AB76" s="126"/>
      <c r="AC76" s="126"/>
    </row>
    <row r="77" customFormat="false" ht="12" hidden="false" customHeight="false" outlineLevel="0" collapsed="false">
      <c r="A77" s="116"/>
      <c r="B77" s="116" t="n">
        <f aca="false">zeige.Jahr</f>
        <v>4</v>
      </c>
      <c r="C77" s="117" t="str">
        <f aca="false">zeige.Jahrtxt</f>
        <v> Jahre</v>
      </c>
      <c r="D77" s="116" t="n">
        <f aca="false">zeige.Monat</f>
        <v>11</v>
      </c>
      <c r="E77" s="117" t="str">
        <f aca="false">zeige.Monattxt</f>
        <v> Monate</v>
      </c>
      <c r="F77" s="123" t="n">
        <f aca="false">rechne.Zahlungstermine</f>
        <v>45596</v>
      </c>
      <c r="G77" s="119" t="str">
        <f aca="false">rechne.Restkredit</f>
        <v> </v>
      </c>
      <c r="H77" s="119" t="str">
        <f aca="false">rechne.Zinsen</f>
        <v> </v>
      </c>
      <c r="I77" s="119" t="str">
        <f aca="false">rechne.Tilgung</f>
        <v> </v>
      </c>
      <c r="J77" s="119" t="str">
        <f aca="false">rechne.Betrag</f>
        <v> </v>
      </c>
      <c r="K77" s="119"/>
      <c r="L77" s="119" t="str">
        <f aca="false">rechne.GesZins</f>
        <v> </v>
      </c>
      <c r="M77" s="119" t="str">
        <f aca="false">rechne.GesTilg</f>
        <v> </v>
      </c>
      <c r="N77" s="119" t="str">
        <f aca="false">rechne.GesAufwand</f>
        <v> </v>
      </c>
      <c r="O77" s="120"/>
      <c r="P77" s="117" t="str">
        <f aca="false">rechne.AnzMonate</f>
        <v> </v>
      </c>
      <c r="Q77" s="124"/>
      <c r="R77" s="126"/>
      <c r="S77" s="126"/>
      <c r="T77" s="126"/>
      <c r="U77" s="126"/>
      <c r="V77" s="126"/>
      <c r="W77" s="126"/>
      <c r="X77" s="126"/>
      <c r="Y77" s="126"/>
      <c r="Z77" s="126"/>
      <c r="AA77" s="126"/>
      <c r="AB77" s="126"/>
      <c r="AC77" s="126"/>
    </row>
    <row r="78" customFormat="false" ht="12" hidden="false" customHeight="false" outlineLevel="0" collapsed="false">
      <c r="A78" s="116"/>
      <c r="B78" s="116" t="n">
        <f aca="false">zeige.Jahr</f>
        <v>5</v>
      </c>
      <c r="C78" s="117" t="str">
        <f aca="false">zeige.Jahrtxt</f>
        <v> Jahre</v>
      </c>
      <c r="D78" s="116" t="n">
        <f aca="false">zeige.Monat</f>
        <v>0</v>
      </c>
      <c r="E78" s="117" t="str">
        <f aca="false">zeige.Monattxt</f>
        <v> </v>
      </c>
      <c r="F78" s="123" t="n">
        <f aca="false">rechne.Zahlungstermine</f>
        <v>45626</v>
      </c>
      <c r="G78" s="119" t="str">
        <f aca="false">rechne.Restkredit</f>
        <v> </v>
      </c>
      <c r="H78" s="119" t="str">
        <f aca="false">rechne.Zinsen</f>
        <v> </v>
      </c>
      <c r="I78" s="119" t="str">
        <f aca="false">rechne.Tilgung</f>
        <v> </v>
      </c>
      <c r="J78" s="119" t="str">
        <f aca="false">rechne.Betrag</f>
        <v> </v>
      </c>
      <c r="K78" s="119"/>
      <c r="L78" s="119" t="str">
        <f aca="false">rechne.GesZins</f>
        <v> </v>
      </c>
      <c r="M78" s="119" t="str">
        <f aca="false">rechne.GesTilg</f>
        <v> </v>
      </c>
      <c r="N78" s="119" t="str">
        <f aca="false">rechne.GesAufwand</f>
        <v> </v>
      </c>
      <c r="O78" s="120"/>
      <c r="P78" s="117" t="str">
        <f aca="false">rechne.AnzMonate</f>
        <v> </v>
      </c>
      <c r="Q78" s="124"/>
      <c r="R78" s="126"/>
      <c r="S78" s="126"/>
      <c r="T78" s="126"/>
      <c r="U78" s="126"/>
      <c r="V78" s="126"/>
      <c r="W78" s="126"/>
      <c r="X78" s="126"/>
      <c r="Y78" s="126"/>
      <c r="Z78" s="126"/>
      <c r="AA78" s="126"/>
      <c r="AB78" s="126"/>
      <c r="AC78" s="126"/>
    </row>
    <row r="79" customFormat="false" ht="12" hidden="false" customHeight="false" outlineLevel="0" collapsed="false">
      <c r="A79" s="116"/>
      <c r="B79" s="116" t="n">
        <f aca="false">zeige.Jahr</f>
        <v>5</v>
      </c>
      <c r="C79" s="117" t="str">
        <f aca="false">zeige.Jahrtxt</f>
        <v> Jahre</v>
      </c>
      <c r="D79" s="116" t="n">
        <f aca="false">zeige.Monat</f>
        <v>1</v>
      </c>
      <c r="E79" s="117" t="str">
        <f aca="false">zeige.Monattxt</f>
        <v> Monat</v>
      </c>
      <c r="F79" s="123" t="n">
        <f aca="false">rechne.Zahlungstermine</f>
        <v>45657</v>
      </c>
      <c r="G79" s="119" t="str">
        <f aca="false">rechne.Restkredit</f>
        <v> </v>
      </c>
      <c r="H79" s="119" t="str">
        <f aca="false">rechne.Zinsen</f>
        <v> </v>
      </c>
      <c r="I79" s="119" t="str">
        <f aca="false">rechne.Tilgung</f>
        <v> </v>
      </c>
      <c r="J79" s="119" t="str">
        <f aca="false">rechne.Betrag</f>
        <v> </v>
      </c>
      <c r="K79" s="119"/>
      <c r="L79" s="119" t="str">
        <f aca="false">rechne.GesZins</f>
        <v> </v>
      </c>
      <c r="M79" s="119" t="str">
        <f aca="false">rechne.GesTilg</f>
        <v> </v>
      </c>
      <c r="N79" s="119" t="str">
        <f aca="false">rechne.GesAufwand</f>
        <v> </v>
      </c>
      <c r="O79" s="120"/>
      <c r="P79" s="117" t="str">
        <f aca="false">rechne.AnzMonate</f>
        <v> </v>
      </c>
      <c r="Q79" s="124"/>
      <c r="R79" s="126"/>
      <c r="S79" s="126"/>
      <c r="T79" s="126"/>
      <c r="U79" s="126"/>
      <c r="V79" s="126"/>
      <c r="W79" s="126"/>
      <c r="X79" s="126"/>
      <c r="Y79" s="126"/>
      <c r="Z79" s="126"/>
      <c r="AA79" s="126"/>
      <c r="AB79" s="126"/>
      <c r="AC79" s="126"/>
    </row>
    <row r="80" customFormat="false" ht="12" hidden="false" customHeight="false" outlineLevel="0" collapsed="false">
      <c r="A80" s="116"/>
      <c r="B80" s="116" t="n">
        <f aca="false">zeige.Jahr</f>
        <v>5</v>
      </c>
      <c r="C80" s="117" t="str">
        <f aca="false">zeige.Jahrtxt</f>
        <v> Jahre</v>
      </c>
      <c r="D80" s="116" t="n">
        <f aca="false">zeige.Monat</f>
        <v>2</v>
      </c>
      <c r="E80" s="117" t="str">
        <f aca="false">zeige.Monattxt</f>
        <v> Monate</v>
      </c>
      <c r="F80" s="123" t="n">
        <f aca="false">rechne.Zahlungstermine</f>
        <v>45688</v>
      </c>
      <c r="G80" s="119" t="str">
        <f aca="false">rechne.Restkredit</f>
        <v> </v>
      </c>
      <c r="H80" s="119" t="str">
        <f aca="false">rechne.Zinsen</f>
        <v> </v>
      </c>
      <c r="I80" s="119" t="str">
        <f aca="false">rechne.Tilgung</f>
        <v> </v>
      </c>
      <c r="J80" s="119" t="str">
        <f aca="false">rechne.Betrag</f>
        <v> </v>
      </c>
      <c r="K80" s="119"/>
      <c r="L80" s="119" t="str">
        <f aca="false">rechne.GesZins</f>
        <v> </v>
      </c>
      <c r="M80" s="119" t="str">
        <f aca="false">rechne.GesTilg</f>
        <v> </v>
      </c>
      <c r="N80" s="119" t="str">
        <f aca="false">rechne.GesAufwand</f>
        <v> </v>
      </c>
      <c r="O80" s="120"/>
      <c r="P80" s="117" t="str">
        <f aca="false">rechne.AnzMonate</f>
        <v> </v>
      </c>
      <c r="Q80" s="124"/>
      <c r="R80" s="126"/>
      <c r="S80" s="126"/>
      <c r="T80" s="126"/>
      <c r="U80" s="126"/>
      <c r="V80" s="126"/>
      <c r="W80" s="126"/>
      <c r="X80" s="126"/>
      <c r="Y80" s="126"/>
      <c r="Z80" s="126"/>
      <c r="AA80" s="126"/>
      <c r="AB80" s="126"/>
      <c r="AC80" s="126"/>
    </row>
    <row r="81" customFormat="false" ht="12" hidden="false" customHeight="false" outlineLevel="0" collapsed="false">
      <c r="A81" s="116"/>
      <c r="B81" s="116" t="n">
        <f aca="false">zeige.Jahr</f>
        <v>5</v>
      </c>
      <c r="C81" s="117" t="str">
        <f aca="false">zeige.Jahrtxt</f>
        <v> Jahre</v>
      </c>
      <c r="D81" s="116" t="n">
        <f aca="false">zeige.Monat</f>
        <v>3</v>
      </c>
      <c r="E81" s="117" t="str">
        <f aca="false">zeige.Monattxt</f>
        <v> Monate</v>
      </c>
      <c r="F81" s="123" t="n">
        <f aca="false">rechne.Zahlungstermine</f>
        <v>45716</v>
      </c>
      <c r="G81" s="119" t="str">
        <f aca="false">rechne.Restkredit</f>
        <v> </v>
      </c>
      <c r="H81" s="119" t="str">
        <f aca="false">rechne.Zinsen</f>
        <v> </v>
      </c>
      <c r="I81" s="119" t="str">
        <f aca="false">rechne.Tilgung</f>
        <v> </v>
      </c>
      <c r="J81" s="119" t="str">
        <f aca="false">rechne.Betrag</f>
        <v> </v>
      </c>
      <c r="K81" s="119"/>
      <c r="L81" s="119" t="str">
        <f aca="false">rechne.GesZins</f>
        <v> </v>
      </c>
      <c r="M81" s="119" t="str">
        <f aca="false">rechne.GesTilg</f>
        <v> </v>
      </c>
      <c r="N81" s="119" t="str">
        <f aca="false">rechne.GesAufwand</f>
        <v> </v>
      </c>
      <c r="O81" s="120"/>
      <c r="P81" s="117" t="str">
        <f aca="false">rechne.AnzMonate</f>
        <v> </v>
      </c>
      <c r="Q81" s="124"/>
      <c r="R81" s="126"/>
      <c r="S81" s="126"/>
      <c r="T81" s="126"/>
      <c r="U81" s="126"/>
      <c r="V81" s="126"/>
      <c r="W81" s="126"/>
      <c r="X81" s="126"/>
      <c r="Y81" s="126"/>
      <c r="Z81" s="126"/>
      <c r="AA81" s="126"/>
      <c r="AB81" s="126"/>
      <c r="AC81" s="126"/>
    </row>
    <row r="82" customFormat="false" ht="12" hidden="false" customHeight="false" outlineLevel="0" collapsed="false">
      <c r="A82" s="116"/>
      <c r="B82" s="116" t="n">
        <f aca="false">zeige.Jahr</f>
        <v>5</v>
      </c>
      <c r="C82" s="117" t="str">
        <f aca="false">zeige.Jahrtxt</f>
        <v> Jahre</v>
      </c>
      <c r="D82" s="116" t="n">
        <f aca="false">zeige.Monat</f>
        <v>4</v>
      </c>
      <c r="E82" s="117" t="str">
        <f aca="false">zeige.Monattxt</f>
        <v> Monate</v>
      </c>
      <c r="F82" s="123" t="n">
        <f aca="false">rechne.Zahlungstermine</f>
        <v>45747</v>
      </c>
      <c r="G82" s="119" t="str">
        <f aca="false">rechne.Restkredit</f>
        <v> </v>
      </c>
      <c r="H82" s="119" t="str">
        <f aca="false">rechne.Zinsen</f>
        <v> </v>
      </c>
      <c r="I82" s="119" t="str">
        <f aca="false">rechne.Tilgung</f>
        <v> </v>
      </c>
      <c r="J82" s="119" t="str">
        <f aca="false">rechne.Betrag</f>
        <v> </v>
      </c>
      <c r="K82" s="119"/>
      <c r="L82" s="119" t="str">
        <f aca="false">rechne.GesZins</f>
        <v> </v>
      </c>
      <c r="M82" s="119" t="str">
        <f aca="false">rechne.GesTilg</f>
        <v> </v>
      </c>
      <c r="N82" s="119" t="str">
        <f aca="false">rechne.GesAufwand</f>
        <v> </v>
      </c>
      <c r="O82" s="120"/>
      <c r="P82" s="117" t="str">
        <f aca="false">rechne.AnzMonate</f>
        <v> </v>
      </c>
      <c r="Q82" s="124"/>
      <c r="R82" s="126"/>
      <c r="S82" s="126"/>
      <c r="T82" s="126"/>
      <c r="U82" s="126"/>
      <c r="V82" s="126"/>
      <c r="W82" s="126"/>
      <c r="X82" s="126"/>
      <c r="Y82" s="126"/>
      <c r="Z82" s="126"/>
      <c r="AA82" s="126"/>
      <c r="AB82" s="126"/>
      <c r="AC82" s="126"/>
    </row>
    <row r="83" customFormat="false" ht="12" hidden="false" customHeight="false" outlineLevel="0" collapsed="false">
      <c r="A83" s="116"/>
      <c r="B83" s="116" t="n">
        <f aca="false">zeige.Jahr</f>
        <v>5</v>
      </c>
      <c r="C83" s="117" t="str">
        <f aca="false">zeige.Jahrtxt</f>
        <v> Jahre</v>
      </c>
      <c r="D83" s="116" t="n">
        <f aca="false">zeige.Monat</f>
        <v>5</v>
      </c>
      <c r="E83" s="117" t="str">
        <f aca="false">zeige.Monattxt</f>
        <v> Monate</v>
      </c>
      <c r="F83" s="123" t="n">
        <f aca="false">rechne.Zahlungstermine</f>
        <v>45777</v>
      </c>
      <c r="G83" s="119" t="str">
        <f aca="false">rechne.Restkredit</f>
        <v> </v>
      </c>
      <c r="H83" s="119" t="str">
        <f aca="false">rechne.Zinsen</f>
        <v> </v>
      </c>
      <c r="I83" s="119" t="str">
        <f aca="false">rechne.Tilgung</f>
        <v> </v>
      </c>
      <c r="J83" s="119" t="str">
        <f aca="false">rechne.Betrag</f>
        <v> </v>
      </c>
      <c r="K83" s="119"/>
      <c r="L83" s="119" t="str">
        <f aca="false">rechne.GesZins</f>
        <v> </v>
      </c>
      <c r="M83" s="119" t="str">
        <f aca="false">rechne.GesTilg</f>
        <v> </v>
      </c>
      <c r="N83" s="119" t="str">
        <f aca="false">rechne.GesAufwand</f>
        <v> </v>
      </c>
      <c r="O83" s="120"/>
      <c r="P83" s="117" t="str">
        <f aca="false">rechne.AnzMonate</f>
        <v> </v>
      </c>
      <c r="Q83" s="124"/>
      <c r="R83" s="126"/>
      <c r="S83" s="126"/>
      <c r="T83" s="126"/>
      <c r="U83" s="126"/>
      <c r="V83" s="126"/>
      <c r="W83" s="126"/>
      <c r="X83" s="126"/>
      <c r="Y83" s="126"/>
      <c r="Z83" s="126"/>
      <c r="AA83" s="126"/>
      <c r="AB83" s="126"/>
      <c r="AC83" s="126"/>
    </row>
    <row r="84" customFormat="false" ht="12" hidden="false" customHeight="false" outlineLevel="0" collapsed="false">
      <c r="A84" s="116"/>
      <c r="B84" s="116" t="n">
        <f aca="false">zeige.Jahr</f>
        <v>5</v>
      </c>
      <c r="C84" s="117" t="str">
        <f aca="false">zeige.Jahrtxt</f>
        <v> Jahre</v>
      </c>
      <c r="D84" s="116" t="n">
        <f aca="false">zeige.Monat</f>
        <v>6</v>
      </c>
      <c r="E84" s="117" t="str">
        <f aca="false">zeige.Monattxt</f>
        <v> Monate</v>
      </c>
      <c r="F84" s="123" t="n">
        <f aca="false">rechne.Zahlungstermine</f>
        <v>45808</v>
      </c>
      <c r="G84" s="119" t="str">
        <f aca="false">rechne.Restkredit</f>
        <v> </v>
      </c>
      <c r="H84" s="119" t="str">
        <f aca="false">rechne.Zinsen</f>
        <v> </v>
      </c>
      <c r="I84" s="119" t="str">
        <f aca="false">rechne.Tilgung</f>
        <v> </v>
      </c>
      <c r="J84" s="119" t="str">
        <f aca="false">rechne.Betrag</f>
        <v> </v>
      </c>
      <c r="K84" s="119"/>
      <c r="L84" s="119" t="str">
        <f aca="false">rechne.GesZins</f>
        <v> </v>
      </c>
      <c r="M84" s="119" t="str">
        <f aca="false">rechne.GesTilg</f>
        <v> </v>
      </c>
      <c r="N84" s="119" t="str">
        <f aca="false">rechne.GesAufwand</f>
        <v> </v>
      </c>
      <c r="O84" s="120"/>
      <c r="P84" s="117" t="str">
        <f aca="false">rechne.AnzMonate</f>
        <v> </v>
      </c>
      <c r="Q84" s="124"/>
      <c r="R84" s="126"/>
      <c r="S84" s="126"/>
      <c r="T84" s="126"/>
      <c r="U84" s="126"/>
      <c r="V84" s="126"/>
      <c r="W84" s="126"/>
      <c r="X84" s="126"/>
      <c r="Y84" s="126"/>
      <c r="Z84" s="126"/>
      <c r="AA84" s="126"/>
      <c r="AB84" s="126"/>
      <c r="AC84" s="126"/>
    </row>
    <row r="85" customFormat="false" ht="12" hidden="false" customHeight="false" outlineLevel="0" collapsed="false">
      <c r="A85" s="116"/>
      <c r="B85" s="116" t="n">
        <f aca="false">zeige.Jahr</f>
        <v>5</v>
      </c>
      <c r="C85" s="117" t="str">
        <f aca="false">zeige.Jahrtxt</f>
        <v> Jahre</v>
      </c>
      <c r="D85" s="116" t="n">
        <f aca="false">zeige.Monat</f>
        <v>7</v>
      </c>
      <c r="E85" s="117" t="str">
        <f aca="false">zeige.Monattxt</f>
        <v> Monate</v>
      </c>
      <c r="F85" s="123" t="n">
        <f aca="false">rechne.Zahlungstermine</f>
        <v>45838</v>
      </c>
      <c r="G85" s="119" t="str">
        <f aca="false">rechne.Restkredit</f>
        <v> </v>
      </c>
      <c r="H85" s="119" t="str">
        <f aca="false">rechne.Zinsen</f>
        <v> </v>
      </c>
      <c r="I85" s="119" t="str">
        <f aca="false">rechne.Tilgung</f>
        <v> </v>
      </c>
      <c r="J85" s="119" t="str">
        <f aca="false">rechne.Betrag</f>
        <v> </v>
      </c>
      <c r="K85" s="119"/>
      <c r="L85" s="119" t="str">
        <f aca="false">rechne.GesZins</f>
        <v> </v>
      </c>
      <c r="M85" s="119" t="str">
        <f aca="false">rechne.GesTilg</f>
        <v> </v>
      </c>
      <c r="N85" s="119" t="str">
        <f aca="false">rechne.GesAufwand</f>
        <v> </v>
      </c>
      <c r="O85" s="120"/>
      <c r="P85" s="117" t="str">
        <f aca="false">rechne.AnzMonate</f>
        <v> </v>
      </c>
      <c r="Q85" s="124"/>
      <c r="R85" s="126"/>
      <c r="S85" s="126"/>
      <c r="T85" s="126"/>
      <c r="U85" s="126"/>
      <c r="V85" s="126"/>
      <c r="W85" s="126"/>
      <c r="X85" s="126"/>
      <c r="Y85" s="126"/>
      <c r="Z85" s="126"/>
      <c r="AA85" s="126"/>
      <c r="AB85" s="126"/>
      <c r="AC85" s="126"/>
    </row>
    <row r="86" customFormat="false" ht="12" hidden="false" customHeight="false" outlineLevel="0" collapsed="false">
      <c r="A86" s="116"/>
      <c r="B86" s="116" t="n">
        <f aca="false">zeige.Jahr</f>
        <v>5</v>
      </c>
      <c r="C86" s="117" t="str">
        <f aca="false">zeige.Jahrtxt</f>
        <v> Jahre</v>
      </c>
      <c r="D86" s="116" t="n">
        <f aca="false">zeige.Monat</f>
        <v>8</v>
      </c>
      <c r="E86" s="117" t="str">
        <f aca="false">zeige.Monattxt</f>
        <v> Monate</v>
      </c>
      <c r="F86" s="123" t="n">
        <f aca="false">rechne.Zahlungstermine</f>
        <v>45869</v>
      </c>
      <c r="G86" s="119" t="str">
        <f aca="false">rechne.Restkredit</f>
        <v> </v>
      </c>
      <c r="H86" s="119" t="str">
        <f aca="false">rechne.Zinsen</f>
        <v> </v>
      </c>
      <c r="I86" s="119" t="str">
        <f aca="false">rechne.Tilgung</f>
        <v> </v>
      </c>
      <c r="J86" s="119" t="str">
        <f aca="false">rechne.Betrag</f>
        <v> </v>
      </c>
      <c r="K86" s="119"/>
      <c r="L86" s="119" t="str">
        <f aca="false">rechne.GesZins</f>
        <v> </v>
      </c>
      <c r="M86" s="119" t="str">
        <f aca="false">rechne.GesTilg</f>
        <v> </v>
      </c>
      <c r="N86" s="119" t="str">
        <f aca="false">rechne.GesAufwand</f>
        <v> </v>
      </c>
      <c r="O86" s="120"/>
      <c r="P86" s="117" t="str">
        <f aca="false">rechne.AnzMonate</f>
        <v> </v>
      </c>
      <c r="Q86" s="124"/>
      <c r="R86" s="126"/>
      <c r="S86" s="126"/>
      <c r="T86" s="126"/>
      <c r="U86" s="126"/>
      <c r="V86" s="126"/>
      <c r="W86" s="126"/>
      <c r="X86" s="126"/>
      <c r="Y86" s="126"/>
      <c r="Z86" s="126"/>
      <c r="AA86" s="126"/>
      <c r="AB86" s="126"/>
      <c r="AC86" s="126"/>
    </row>
    <row r="87" customFormat="false" ht="12" hidden="false" customHeight="false" outlineLevel="0" collapsed="false">
      <c r="A87" s="116"/>
      <c r="B87" s="116" t="n">
        <f aca="false">zeige.Jahr</f>
        <v>5</v>
      </c>
      <c r="C87" s="117" t="str">
        <f aca="false">zeige.Jahrtxt</f>
        <v> Jahre</v>
      </c>
      <c r="D87" s="116" t="n">
        <f aca="false">zeige.Monat</f>
        <v>9</v>
      </c>
      <c r="E87" s="117" t="str">
        <f aca="false">zeige.Monattxt</f>
        <v> Monate</v>
      </c>
      <c r="F87" s="123" t="n">
        <f aca="false">rechne.Zahlungstermine</f>
        <v>45900</v>
      </c>
      <c r="G87" s="119" t="str">
        <f aca="false">rechne.Restkredit</f>
        <v> </v>
      </c>
      <c r="H87" s="119" t="str">
        <f aca="false">rechne.Zinsen</f>
        <v> </v>
      </c>
      <c r="I87" s="119" t="str">
        <f aca="false">rechne.Tilgung</f>
        <v> </v>
      </c>
      <c r="J87" s="119" t="str">
        <f aca="false">rechne.Betrag</f>
        <v> </v>
      </c>
      <c r="K87" s="119"/>
      <c r="L87" s="119" t="str">
        <f aca="false">rechne.GesZins</f>
        <v> </v>
      </c>
      <c r="M87" s="119" t="str">
        <f aca="false">rechne.GesTilg</f>
        <v> </v>
      </c>
      <c r="N87" s="119" t="str">
        <f aca="false">rechne.GesAufwand</f>
        <v> </v>
      </c>
      <c r="O87" s="120"/>
      <c r="P87" s="117" t="str">
        <f aca="false">rechne.AnzMonate</f>
        <v> </v>
      </c>
      <c r="Q87" s="124"/>
      <c r="R87" s="126"/>
      <c r="S87" s="126"/>
      <c r="T87" s="126"/>
      <c r="U87" s="126"/>
      <c r="V87" s="126"/>
      <c r="W87" s="126"/>
      <c r="X87" s="126"/>
      <c r="Y87" s="126"/>
      <c r="Z87" s="126"/>
      <c r="AA87" s="126"/>
      <c r="AB87" s="126"/>
      <c r="AC87" s="126"/>
    </row>
    <row r="88" customFormat="false" ht="12" hidden="false" customHeight="false" outlineLevel="0" collapsed="false">
      <c r="A88" s="116"/>
      <c r="B88" s="116" t="n">
        <f aca="false">zeige.Jahr</f>
        <v>5</v>
      </c>
      <c r="C88" s="117" t="str">
        <f aca="false">zeige.Jahrtxt</f>
        <v> Jahre</v>
      </c>
      <c r="D88" s="116" t="n">
        <f aca="false">zeige.Monat</f>
        <v>10</v>
      </c>
      <c r="E88" s="117" t="str">
        <f aca="false">zeige.Monattxt</f>
        <v> Monate</v>
      </c>
      <c r="F88" s="123" t="n">
        <f aca="false">rechne.Zahlungstermine</f>
        <v>45930</v>
      </c>
      <c r="G88" s="119" t="str">
        <f aca="false">rechne.Restkredit</f>
        <v> </v>
      </c>
      <c r="H88" s="119" t="str">
        <f aca="false">rechne.Zinsen</f>
        <v> </v>
      </c>
      <c r="I88" s="119" t="str">
        <f aca="false">rechne.Tilgung</f>
        <v> </v>
      </c>
      <c r="J88" s="119" t="str">
        <f aca="false">rechne.Betrag</f>
        <v> </v>
      </c>
      <c r="K88" s="119"/>
      <c r="L88" s="119" t="str">
        <f aca="false">rechne.GesZins</f>
        <v> </v>
      </c>
      <c r="M88" s="119" t="str">
        <f aca="false">rechne.GesTilg</f>
        <v> </v>
      </c>
      <c r="N88" s="119" t="str">
        <f aca="false">rechne.GesAufwand</f>
        <v> </v>
      </c>
      <c r="O88" s="120"/>
      <c r="P88" s="117" t="str">
        <f aca="false">rechne.AnzMonate</f>
        <v> </v>
      </c>
      <c r="Q88" s="124"/>
      <c r="R88" s="126"/>
      <c r="S88" s="126"/>
      <c r="T88" s="126"/>
      <c r="U88" s="126"/>
      <c r="V88" s="126"/>
      <c r="W88" s="126"/>
      <c r="X88" s="126"/>
      <c r="Y88" s="126"/>
      <c r="Z88" s="126"/>
      <c r="AA88" s="126"/>
      <c r="AB88" s="126"/>
      <c r="AC88" s="126"/>
    </row>
    <row r="89" customFormat="false" ht="12" hidden="false" customHeight="false" outlineLevel="0" collapsed="false">
      <c r="A89" s="116"/>
      <c r="B89" s="116" t="n">
        <f aca="false">zeige.Jahr</f>
        <v>5</v>
      </c>
      <c r="C89" s="117" t="str">
        <f aca="false">zeige.Jahrtxt</f>
        <v> Jahre</v>
      </c>
      <c r="D89" s="116" t="n">
        <f aca="false">zeige.Monat</f>
        <v>11</v>
      </c>
      <c r="E89" s="117" t="str">
        <f aca="false">zeige.Monattxt</f>
        <v> Monate</v>
      </c>
      <c r="F89" s="123" t="n">
        <f aca="false">rechne.Zahlungstermine</f>
        <v>45961</v>
      </c>
      <c r="G89" s="119" t="str">
        <f aca="false">rechne.Restkredit</f>
        <v> </v>
      </c>
      <c r="H89" s="119" t="str">
        <f aca="false">rechne.Zinsen</f>
        <v> </v>
      </c>
      <c r="I89" s="119" t="str">
        <f aca="false">rechne.Tilgung</f>
        <v> </v>
      </c>
      <c r="J89" s="119" t="str">
        <f aca="false">rechne.Betrag</f>
        <v> </v>
      </c>
      <c r="K89" s="119"/>
      <c r="L89" s="119" t="str">
        <f aca="false">rechne.GesZins</f>
        <v> </v>
      </c>
      <c r="M89" s="119" t="str">
        <f aca="false">rechne.GesTilg</f>
        <v> </v>
      </c>
      <c r="N89" s="119" t="str">
        <f aca="false">rechne.GesAufwand</f>
        <v> </v>
      </c>
      <c r="O89" s="120"/>
      <c r="P89" s="117" t="str">
        <f aca="false">rechne.AnzMonate</f>
        <v> </v>
      </c>
      <c r="Q89" s="124"/>
      <c r="R89" s="126"/>
      <c r="S89" s="126"/>
      <c r="T89" s="126"/>
      <c r="U89" s="126"/>
      <c r="V89" s="126"/>
      <c r="W89" s="126"/>
      <c r="X89" s="126"/>
      <c r="Y89" s="126"/>
      <c r="Z89" s="126"/>
      <c r="AA89" s="126"/>
      <c r="AB89" s="126"/>
      <c r="AC89" s="126"/>
    </row>
    <row r="90" customFormat="false" ht="12" hidden="false" customHeight="false" outlineLevel="0" collapsed="false">
      <c r="A90" s="116"/>
      <c r="B90" s="116" t="n">
        <f aca="false">zeige.Jahr</f>
        <v>6</v>
      </c>
      <c r="C90" s="117" t="str">
        <f aca="false">zeige.Jahrtxt</f>
        <v> Jahre</v>
      </c>
      <c r="D90" s="116" t="n">
        <f aca="false">zeige.Monat</f>
        <v>0</v>
      </c>
      <c r="E90" s="117" t="str">
        <f aca="false">zeige.Monattxt</f>
        <v> </v>
      </c>
      <c r="F90" s="123" t="n">
        <f aca="false">rechne.Zahlungstermine</f>
        <v>45991</v>
      </c>
      <c r="G90" s="119" t="str">
        <f aca="false">rechne.Restkredit</f>
        <v> </v>
      </c>
      <c r="H90" s="119" t="str">
        <f aca="false">rechne.Zinsen</f>
        <v> </v>
      </c>
      <c r="I90" s="119" t="str">
        <f aca="false">rechne.Tilgung</f>
        <v> </v>
      </c>
      <c r="J90" s="119" t="str">
        <f aca="false">rechne.Betrag</f>
        <v> </v>
      </c>
      <c r="K90" s="119"/>
      <c r="L90" s="119" t="str">
        <f aca="false">rechne.GesZins</f>
        <v> </v>
      </c>
      <c r="M90" s="119" t="str">
        <f aca="false">rechne.GesTilg</f>
        <v> </v>
      </c>
      <c r="N90" s="119" t="str">
        <f aca="false">rechne.GesAufwand</f>
        <v> </v>
      </c>
      <c r="O90" s="120"/>
      <c r="P90" s="117" t="str">
        <f aca="false">rechne.AnzMonate</f>
        <v> </v>
      </c>
      <c r="Q90" s="124"/>
      <c r="R90" s="126"/>
      <c r="S90" s="126"/>
      <c r="T90" s="126"/>
      <c r="U90" s="126"/>
      <c r="V90" s="126"/>
      <c r="W90" s="126"/>
      <c r="X90" s="126"/>
      <c r="Y90" s="126"/>
      <c r="Z90" s="126"/>
      <c r="AA90" s="126"/>
      <c r="AB90" s="126"/>
      <c r="AC90" s="126"/>
    </row>
    <row r="91" customFormat="false" ht="12" hidden="false" customHeight="false" outlineLevel="0" collapsed="false">
      <c r="A91" s="116"/>
      <c r="B91" s="116" t="n">
        <f aca="false">zeige.Jahr</f>
        <v>6</v>
      </c>
      <c r="C91" s="117" t="str">
        <f aca="false">zeige.Jahrtxt</f>
        <v> Jahre</v>
      </c>
      <c r="D91" s="116" t="n">
        <f aca="false">zeige.Monat</f>
        <v>1</v>
      </c>
      <c r="E91" s="117" t="str">
        <f aca="false">zeige.Monattxt</f>
        <v> Monat</v>
      </c>
      <c r="F91" s="123" t="n">
        <f aca="false">rechne.Zahlungstermine</f>
        <v>46022</v>
      </c>
      <c r="G91" s="119" t="str">
        <f aca="false">rechne.Restkredit</f>
        <v> </v>
      </c>
      <c r="H91" s="119" t="str">
        <f aca="false">rechne.Zinsen</f>
        <v> </v>
      </c>
      <c r="I91" s="119" t="str">
        <f aca="false">rechne.Tilgung</f>
        <v> </v>
      </c>
      <c r="J91" s="119" t="str">
        <f aca="false">rechne.Betrag</f>
        <v> </v>
      </c>
      <c r="K91" s="119"/>
      <c r="L91" s="119" t="str">
        <f aca="false">rechne.GesZins</f>
        <v> </v>
      </c>
      <c r="M91" s="119" t="str">
        <f aca="false">rechne.GesTilg</f>
        <v> </v>
      </c>
      <c r="N91" s="119" t="str">
        <f aca="false">rechne.GesAufwand</f>
        <v> </v>
      </c>
      <c r="O91" s="120"/>
      <c r="P91" s="117" t="str">
        <f aca="false">rechne.AnzMonate</f>
        <v> </v>
      </c>
      <c r="Q91" s="124"/>
      <c r="R91" s="126"/>
      <c r="S91" s="126"/>
      <c r="T91" s="126"/>
      <c r="U91" s="126"/>
      <c r="V91" s="126"/>
      <c r="W91" s="126"/>
      <c r="X91" s="126"/>
      <c r="Y91" s="126"/>
      <c r="Z91" s="126"/>
      <c r="AA91" s="126"/>
      <c r="AB91" s="126"/>
      <c r="AC91" s="126"/>
    </row>
    <row r="92" customFormat="false" ht="12" hidden="false" customHeight="false" outlineLevel="0" collapsed="false">
      <c r="A92" s="116"/>
      <c r="B92" s="116" t="n">
        <f aca="false">zeige.Jahr</f>
        <v>6</v>
      </c>
      <c r="C92" s="117" t="str">
        <f aca="false">zeige.Jahrtxt</f>
        <v> Jahre</v>
      </c>
      <c r="D92" s="116" t="n">
        <f aca="false">zeige.Monat</f>
        <v>2</v>
      </c>
      <c r="E92" s="117" t="str">
        <f aca="false">zeige.Monattxt</f>
        <v> Monate</v>
      </c>
      <c r="F92" s="123" t="n">
        <f aca="false">rechne.Zahlungstermine</f>
        <v>46053</v>
      </c>
      <c r="G92" s="119" t="str">
        <f aca="false">rechne.Restkredit</f>
        <v> </v>
      </c>
      <c r="H92" s="119" t="str">
        <f aca="false">rechne.Zinsen</f>
        <v> </v>
      </c>
      <c r="I92" s="119" t="str">
        <f aca="false">rechne.Tilgung</f>
        <v> </v>
      </c>
      <c r="J92" s="119" t="str">
        <f aca="false">rechne.Betrag</f>
        <v> </v>
      </c>
      <c r="K92" s="119"/>
      <c r="L92" s="119" t="str">
        <f aca="false">rechne.GesZins</f>
        <v> </v>
      </c>
      <c r="M92" s="119" t="str">
        <f aca="false">rechne.GesTilg</f>
        <v> </v>
      </c>
      <c r="N92" s="119" t="str">
        <f aca="false">rechne.GesAufwand</f>
        <v> </v>
      </c>
      <c r="O92" s="120"/>
      <c r="P92" s="117" t="str">
        <f aca="false">rechne.AnzMonate</f>
        <v> </v>
      </c>
      <c r="Q92" s="124"/>
      <c r="R92" s="126"/>
      <c r="S92" s="126"/>
      <c r="T92" s="126"/>
      <c r="U92" s="126"/>
      <c r="V92" s="126"/>
      <c r="W92" s="126"/>
      <c r="X92" s="126"/>
      <c r="Y92" s="126"/>
      <c r="Z92" s="126"/>
      <c r="AA92" s="126"/>
      <c r="AB92" s="126"/>
      <c r="AC92" s="126"/>
    </row>
    <row r="93" customFormat="false" ht="12" hidden="false" customHeight="false" outlineLevel="0" collapsed="false">
      <c r="A93" s="116"/>
      <c r="B93" s="116" t="n">
        <f aca="false">zeige.Jahr</f>
        <v>6</v>
      </c>
      <c r="C93" s="117" t="str">
        <f aca="false">zeige.Jahrtxt</f>
        <v> Jahre</v>
      </c>
      <c r="D93" s="116" t="n">
        <f aca="false">zeige.Monat</f>
        <v>3</v>
      </c>
      <c r="E93" s="117" t="str">
        <f aca="false">zeige.Monattxt</f>
        <v> Monate</v>
      </c>
      <c r="F93" s="123" t="n">
        <f aca="false">rechne.Zahlungstermine</f>
        <v>46081</v>
      </c>
      <c r="G93" s="119" t="str">
        <f aca="false">rechne.Restkredit</f>
        <v> </v>
      </c>
      <c r="H93" s="119" t="str">
        <f aca="false">rechne.Zinsen</f>
        <v> </v>
      </c>
      <c r="I93" s="119" t="str">
        <f aca="false">rechne.Tilgung</f>
        <v> </v>
      </c>
      <c r="J93" s="119" t="str">
        <f aca="false">rechne.Betrag</f>
        <v> </v>
      </c>
      <c r="K93" s="119"/>
      <c r="L93" s="119" t="str">
        <f aca="false">rechne.GesZins</f>
        <v> </v>
      </c>
      <c r="M93" s="119" t="str">
        <f aca="false">rechne.GesTilg</f>
        <v> </v>
      </c>
      <c r="N93" s="119" t="str">
        <f aca="false">rechne.GesAufwand</f>
        <v> </v>
      </c>
      <c r="O93" s="120"/>
      <c r="P93" s="117" t="str">
        <f aca="false">rechne.AnzMonate</f>
        <v> </v>
      </c>
      <c r="Q93" s="124"/>
      <c r="R93" s="126"/>
      <c r="S93" s="126"/>
      <c r="T93" s="126"/>
      <c r="U93" s="126"/>
      <c r="V93" s="126"/>
      <c r="W93" s="126"/>
      <c r="X93" s="126"/>
      <c r="Y93" s="126"/>
      <c r="Z93" s="126"/>
      <c r="AA93" s="126"/>
      <c r="AB93" s="126"/>
      <c r="AC93" s="126"/>
    </row>
    <row r="94" customFormat="false" ht="12" hidden="false" customHeight="false" outlineLevel="0" collapsed="false">
      <c r="A94" s="116"/>
      <c r="B94" s="116" t="n">
        <f aca="false">zeige.Jahr</f>
        <v>6</v>
      </c>
      <c r="C94" s="117" t="str">
        <f aca="false">zeige.Jahrtxt</f>
        <v> Jahre</v>
      </c>
      <c r="D94" s="116" t="n">
        <f aca="false">zeige.Monat</f>
        <v>4</v>
      </c>
      <c r="E94" s="117" t="str">
        <f aca="false">zeige.Monattxt</f>
        <v> Monate</v>
      </c>
      <c r="F94" s="123" t="n">
        <f aca="false">rechne.Zahlungstermine</f>
        <v>46112</v>
      </c>
      <c r="G94" s="119" t="str">
        <f aca="false">rechne.Restkredit</f>
        <v> </v>
      </c>
      <c r="H94" s="119" t="str">
        <f aca="false">rechne.Zinsen</f>
        <v> </v>
      </c>
      <c r="I94" s="119" t="str">
        <f aca="false">rechne.Tilgung</f>
        <v> </v>
      </c>
      <c r="J94" s="119" t="str">
        <f aca="false">rechne.Betrag</f>
        <v> </v>
      </c>
      <c r="K94" s="119"/>
      <c r="L94" s="119" t="str">
        <f aca="false">rechne.GesZins</f>
        <v> </v>
      </c>
      <c r="M94" s="119" t="str">
        <f aca="false">rechne.GesTilg</f>
        <v> </v>
      </c>
      <c r="N94" s="119" t="str">
        <f aca="false">rechne.GesAufwand</f>
        <v> </v>
      </c>
      <c r="O94" s="120"/>
      <c r="P94" s="117" t="str">
        <f aca="false">rechne.AnzMonate</f>
        <v> </v>
      </c>
      <c r="Q94" s="124"/>
      <c r="R94" s="126"/>
      <c r="S94" s="126"/>
      <c r="T94" s="126"/>
      <c r="U94" s="126"/>
      <c r="V94" s="126"/>
      <c r="W94" s="126"/>
      <c r="X94" s="126"/>
      <c r="Y94" s="126"/>
      <c r="Z94" s="126"/>
      <c r="AA94" s="126"/>
      <c r="AB94" s="126"/>
      <c r="AC94" s="126"/>
    </row>
    <row r="95" customFormat="false" ht="12" hidden="false" customHeight="false" outlineLevel="0" collapsed="false">
      <c r="A95" s="116"/>
      <c r="B95" s="116" t="n">
        <f aca="false">zeige.Jahr</f>
        <v>6</v>
      </c>
      <c r="C95" s="117" t="str">
        <f aca="false">zeige.Jahrtxt</f>
        <v> Jahre</v>
      </c>
      <c r="D95" s="116" t="n">
        <f aca="false">zeige.Monat</f>
        <v>5</v>
      </c>
      <c r="E95" s="117" t="str">
        <f aca="false">zeige.Monattxt</f>
        <v> Monate</v>
      </c>
      <c r="F95" s="123" t="n">
        <f aca="false">rechne.Zahlungstermine</f>
        <v>46142</v>
      </c>
      <c r="G95" s="119" t="str">
        <f aca="false">rechne.Restkredit</f>
        <v> </v>
      </c>
      <c r="H95" s="119" t="str">
        <f aca="false">rechne.Zinsen</f>
        <v> </v>
      </c>
      <c r="I95" s="119" t="str">
        <f aca="false">rechne.Tilgung</f>
        <v> </v>
      </c>
      <c r="J95" s="119" t="str">
        <f aca="false">rechne.Betrag</f>
        <v> </v>
      </c>
      <c r="K95" s="119"/>
      <c r="L95" s="119" t="str">
        <f aca="false">rechne.GesZins</f>
        <v> </v>
      </c>
      <c r="M95" s="119" t="str">
        <f aca="false">rechne.GesTilg</f>
        <v> </v>
      </c>
      <c r="N95" s="119" t="str">
        <f aca="false">rechne.GesAufwand</f>
        <v> </v>
      </c>
      <c r="O95" s="120"/>
      <c r="P95" s="117" t="str">
        <f aca="false">rechne.AnzMonate</f>
        <v> </v>
      </c>
      <c r="Q95" s="124"/>
      <c r="R95" s="126"/>
      <c r="S95" s="126"/>
      <c r="T95" s="126"/>
      <c r="U95" s="126"/>
      <c r="V95" s="126"/>
      <c r="W95" s="126"/>
      <c r="X95" s="126"/>
      <c r="Y95" s="126"/>
      <c r="Z95" s="126"/>
      <c r="AA95" s="126"/>
      <c r="AB95" s="126"/>
      <c r="AC95" s="126"/>
    </row>
    <row r="96" customFormat="false" ht="12" hidden="false" customHeight="false" outlineLevel="0" collapsed="false">
      <c r="A96" s="116"/>
      <c r="B96" s="116" t="n">
        <f aca="false">zeige.Jahr</f>
        <v>6</v>
      </c>
      <c r="C96" s="117" t="str">
        <f aca="false">zeige.Jahrtxt</f>
        <v> Jahre</v>
      </c>
      <c r="D96" s="116" t="n">
        <f aca="false">zeige.Monat</f>
        <v>6</v>
      </c>
      <c r="E96" s="117" t="str">
        <f aca="false">zeige.Monattxt</f>
        <v> Monate</v>
      </c>
      <c r="F96" s="123" t="n">
        <f aca="false">rechne.Zahlungstermine</f>
        <v>46173</v>
      </c>
      <c r="G96" s="119" t="str">
        <f aca="false">rechne.Restkredit</f>
        <v> </v>
      </c>
      <c r="H96" s="119" t="str">
        <f aca="false">rechne.Zinsen</f>
        <v> </v>
      </c>
      <c r="I96" s="119" t="str">
        <f aca="false">rechne.Tilgung</f>
        <v> </v>
      </c>
      <c r="J96" s="119" t="str">
        <f aca="false">rechne.Betrag</f>
        <v> </v>
      </c>
      <c r="K96" s="119"/>
      <c r="L96" s="119" t="str">
        <f aca="false">rechne.GesZins</f>
        <v> </v>
      </c>
      <c r="M96" s="119" t="str">
        <f aca="false">rechne.GesTilg</f>
        <v> </v>
      </c>
      <c r="N96" s="119" t="str">
        <f aca="false">rechne.GesAufwand</f>
        <v> </v>
      </c>
      <c r="O96" s="120"/>
      <c r="P96" s="117" t="str">
        <f aca="false">rechne.AnzMonate</f>
        <v> </v>
      </c>
      <c r="Q96" s="124"/>
      <c r="R96" s="126"/>
      <c r="S96" s="126"/>
      <c r="T96" s="126"/>
      <c r="U96" s="126"/>
      <c r="V96" s="126"/>
      <c r="W96" s="126"/>
      <c r="X96" s="126"/>
      <c r="Y96" s="126"/>
      <c r="Z96" s="126"/>
      <c r="AA96" s="126"/>
      <c r="AB96" s="126"/>
      <c r="AC96" s="126"/>
    </row>
    <row r="97" customFormat="false" ht="12" hidden="false" customHeight="false" outlineLevel="0" collapsed="false">
      <c r="A97" s="116"/>
      <c r="B97" s="116" t="n">
        <f aca="false">zeige.Jahr</f>
        <v>6</v>
      </c>
      <c r="C97" s="117" t="str">
        <f aca="false">zeige.Jahrtxt</f>
        <v> Jahre</v>
      </c>
      <c r="D97" s="116" t="n">
        <f aca="false">zeige.Monat</f>
        <v>7</v>
      </c>
      <c r="E97" s="117" t="str">
        <f aca="false">zeige.Monattxt</f>
        <v> Monate</v>
      </c>
      <c r="F97" s="123" t="n">
        <f aca="false">rechne.Zahlungstermine</f>
        <v>46203</v>
      </c>
      <c r="G97" s="119" t="str">
        <f aca="false">rechne.Restkredit</f>
        <v> </v>
      </c>
      <c r="H97" s="119" t="str">
        <f aca="false">rechne.Zinsen</f>
        <v> </v>
      </c>
      <c r="I97" s="119" t="str">
        <f aca="false">rechne.Tilgung</f>
        <v> </v>
      </c>
      <c r="J97" s="119" t="str">
        <f aca="false">rechne.Betrag</f>
        <v> </v>
      </c>
      <c r="K97" s="119"/>
      <c r="L97" s="119" t="str">
        <f aca="false">rechne.GesZins</f>
        <v> </v>
      </c>
      <c r="M97" s="119" t="str">
        <f aca="false">rechne.GesTilg</f>
        <v> </v>
      </c>
      <c r="N97" s="119" t="str">
        <f aca="false">rechne.GesAufwand</f>
        <v> </v>
      </c>
      <c r="O97" s="120"/>
      <c r="P97" s="117" t="str">
        <f aca="false">rechne.AnzMonate</f>
        <v> </v>
      </c>
      <c r="Q97" s="124"/>
      <c r="R97" s="126"/>
      <c r="S97" s="126"/>
      <c r="T97" s="126"/>
      <c r="U97" s="126"/>
      <c r="V97" s="126"/>
      <c r="W97" s="126"/>
      <c r="X97" s="126"/>
      <c r="Y97" s="126"/>
      <c r="Z97" s="126"/>
      <c r="AA97" s="126"/>
      <c r="AB97" s="126"/>
      <c r="AC97" s="126"/>
    </row>
    <row r="98" customFormat="false" ht="12" hidden="false" customHeight="false" outlineLevel="0" collapsed="false">
      <c r="A98" s="116"/>
      <c r="B98" s="116" t="n">
        <f aca="false">zeige.Jahr</f>
        <v>6</v>
      </c>
      <c r="C98" s="117" t="str">
        <f aca="false">zeige.Jahrtxt</f>
        <v> Jahre</v>
      </c>
      <c r="D98" s="116" t="n">
        <f aca="false">zeige.Monat</f>
        <v>8</v>
      </c>
      <c r="E98" s="117" t="str">
        <f aca="false">zeige.Monattxt</f>
        <v> Monate</v>
      </c>
      <c r="F98" s="123" t="n">
        <f aca="false">rechne.Zahlungstermine</f>
        <v>46234</v>
      </c>
      <c r="G98" s="119" t="str">
        <f aca="false">rechne.Restkredit</f>
        <v> </v>
      </c>
      <c r="H98" s="119" t="str">
        <f aca="false">rechne.Zinsen</f>
        <v> </v>
      </c>
      <c r="I98" s="119" t="str">
        <f aca="false">rechne.Tilgung</f>
        <v> </v>
      </c>
      <c r="J98" s="119" t="str">
        <f aca="false">rechne.Betrag</f>
        <v> </v>
      </c>
      <c r="K98" s="119"/>
      <c r="L98" s="119" t="str">
        <f aca="false">rechne.GesZins</f>
        <v> </v>
      </c>
      <c r="M98" s="119" t="str">
        <f aca="false">rechne.GesTilg</f>
        <v> </v>
      </c>
      <c r="N98" s="119" t="str">
        <f aca="false">rechne.GesAufwand</f>
        <v> </v>
      </c>
      <c r="O98" s="120"/>
      <c r="P98" s="117" t="str">
        <f aca="false">rechne.AnzMonate</f>
        <v> </v>
      </c>
      <c r="Q98" s="124"/>
      <c r="R98" s="126"/>
      <c r="S98" s="126"/>
      <c r="T98" s="126"/>
      <c r="U98" s="126"/>
      <c r="V98" s="126"/>
      <c r="W98" s="126"/>
      <c r="X98" s="126"/>
      <c r="Y98" s="126"/>
      <c r="Z98" s="126"/>
      <c r="AA98" s="126"/>
      <c r="AB98" s="126"/>
      <c r="AC98" s="126"/>
    </row>
    <row r="99" customFormat="false" ht="12" hidden="false" customHeight="false" outlineLevel="0" collapsed="false">
      <c r="A99" s="116"/>
      <c r="B99" s="116" t="n">
        <f aca="false">zeige.Jahr</f>
        <v>6</v>
      </c>
      <c r="C99" s="117" t="str">
        <f aca="false">zeige.Jahrtxt</f>
        <v> Jahre</v>
      </c>
      <c r="D99" s="116" t="n">
        <f aca="false">zeige.Monat</f>
        <v>9</v>
      </c>
      <c r="E99" s="117" t="str">
        <f aca="false">zeige.Monattxt</f>
        <v> Monate</v>
      </c>
      <c r="F99" s="123" t="n">
        <f aca="false">rechne.Zahlungstermine</f>
        <v>46265</v>
      </c>
      <c r="G99" s="119" t="str">
        <f aca="false">rechne.Restkredit</f>
        <v> </v>
      </c>
      <c r="H99" s="119" t="str">
        <f aca="false">rechne.Zinsen</f>
        <v> </v>
      </c>
      <c r="I99" s="119" t="str">
        <f aca="false">rechne.Tilgung</f>
        <v> </v>
      </c>
      <c r="J99" s="119" t="str">
        <f aca="false">rechne.Betrag</f>
        <v> </v>
      </c>
      <c r="K99" s="119"/>
      <c r="L99" s="119" t="str">
        <f aca="false">rechne.GesZins</f>
        <v> </v>
      </c>
      <c r="M99" s="119" t="str">
        <f aca="false">rechne.GesTilg</f>
        <v> </v>
      </c>
      <c r="N99" s="119" t="str">
        <f aca="false">rechne.GesAufwand</f>
        <v> </v>
      </c>
      <c r="O99" s="120"/>
      <c r="P99" s="117" t="str">
        <f aca="false">rechne.AnzMonate</f>
        <v> </v>
      </c>
      <c r="Q99" s="124"/>
      <c r="R99" s="126"/>
      <c r="S99" s="126"/>
      <c r="T99" s="126"/>
      <c r="U99" s="126"/>
      <c r="V99" s="126"/>
      <c r="W99" s="126"/>
      <c r="X99" s="126"/>
      <c r="Y99" s="126"/>
      <c r="Z99" s="126"/>
      <c r="AA99" s="126"/>
      <c r="AB99" s="126"/>
      <c r="AC99" s="126"/>
    </row>
    <row r="100" customFormat="false" ht="12" hidden="false" customHeight="false" outlineLevel="0" collapsed="false">
      <c r="A100" s="116"/>
      <c r="B100" s="116" t="n">
        <f aca="false">zeige.Jahr</f>
        <v>6</v>
      </c>
      <c r="C100" s="117" t="str">
        <f aca="false">zeige.Jahrtxt</f>
        <v> Jahre</v>
      </c>
      <c r="D100" s="116" t="n">
        <f aca="false">zeige.Monat</f>
        <v>10</v>
      </c>
      <c r="E100" s="117" t="str">
        <f aca="false">zeige.Monattxt</f>
        <v> Monate</v>
      </c>
      <c r="F100" s="123" t="n">
        <f aca="false">rechne.Zahlungstermine</f>
        <v>46295</v>
      </c>
      <c r="G100" s="119" t="str">
        <f aca="false">rechne.Restkredit</f>
        <v> </v>
      </c>
      <c r="H100" s="119" t="str">
        <f aca="false">rechne.Zinsen</f>
        <v> </v>
      </c>
      <c r="I100" s="119" t="str">
        <f aca="false">rechne.Tilgung</f>
        <v> </v>
      </c>
      <c r="J100" s="119" t="str">
        <f aca="false">rechne.Betrag</f>
        <v> </v>
      </c>
      <c r="K100" s="119"/>
      <c r="L100" s="119" t="str">
        <f aca="false">rechne.GesZins</f>
        <v> </v>
      </c>
      <c r="M100" s="119" t="str">
        <f aca="false">rechne.GesTilg</f>
        <v> </v>
      </c>
      <c r="N100" s="119" t="str">
        <f aca="false">rechne.GesAufwand</f>
        <v> </v>
      </c>
      <c r="O100" s="120"/>
      <c r="P100" s="117" t="str">
        <f aca="false">rechne.AnzMonate</f>
        <v> </v>
      </c>
      <c r="Q100" s="124"/>
      <c r="R100" s="126"/>
      <c r="S100" s="126"/>
      <c r="T100" s="126"/>
      <c r="U100" s="126"/>
      <c r="V100" s="126"/>
      <c r="W100" s="126"/>
      <c r="X100" s="126"/>
      <c r="Y100" s="126"/>
      <c r="Z100" s="126"/>
      <c r="AA100" s="126"/>
      <c r="AB100" s="126"/>
      <c r="AC100" s="126"/>
    </row>
    <row r="101" customFormat="false" ht="12" hidden="false" customHeight="false" outlineLevel="0" collapsed="false">
      <c r="A101" s="116"/>
      <c r="B101" s="116" t="n">
        <f aca="false">zeige.Jahr</f>
        <v>6</v>
      </c>
      <c r="C101" s="117" t="str">
        <f aca="false">zeige.Jahrtxt</f>
        <v> Jahre</v>
      </c>
      <c r="D101" s="116" t="n">
        <f aca="false">zeige.Monat</f>
        <v>11</v>
      </c>
      <c r="E101" s="117" t="str">
        <f aca="false">zeige.Monattxt</f>
        <v> Monate</v>
      </c>
      <c r="F101" s="123" t="n">
        <f aca="false">rechne.Zahlungstermine</f>
        <v>46326</v>
      </c>
      <c r="G101" s="119" t="str">
        <f aca="false">rechne.Restkredit</f>
        <v> </v>
      </c>
      <c r="H101" s="119" t="str">
        <f aca="false">rechne.Zinsen</f>
        <v> </v>
      </c>
      <c r="I101" s="119" t="str">
        <f aca="false">rechne.Tilgung</f>
        <v> </v>
      </c>
      <c r="J101" s="119" t="str">
        <f aca="false">rechne.Betrag</f>
        <v> </v>
      </c>
      <c r="K101" s="119"/>
      <c r="L101" s="119" t="str">
        <f aca="false">rechne.GesZins</f>
        <v> </v>
      </c>
      <c r="M101" s="119" t="str">
        <f aca="false">rechne.GesTilg</f>
        <v> </v>
      </c>
      <c r="N101" s="119" t="str">
        <f aca="false">rechne.GesAufwand</f>
        <v> </v>
      </c>
      <c r="O101" s="120"/>
      <c r="P101" s="117" t="str">
        <f aca="false">rechne.AnzMonate</f>
        <v> </v>
      </c>
      <c r="Q101" s="124"/>
      <c r="R101" s="126"/>
      <c r="S101" s="126"/>
      <c r="T101" s="126"/>
      <c r="U101" s="126"/>
      <c r="V101" s="126"/>
      <c r="W101" s="126"/>
      <c r="X101" s="126"/>
      <c r="Y101" s="126"/>
      <c r="Z101" s="126"/>
      <c r="AA101" s="126"/>
      <c r="AB101" s="126"/>
      <c r="AC101" s="126"/>
    </row>
    <row r="102" customFormat="false" ht="12" hidden="false" customHeight="false" outlineLevel="0" collapsed="false">
      <c r="A102" s="116"/>
      <c r="B102" s="116" t="n">
        <f aca="false">zeige.Jahr</f>
        <v>7</v>
      </c>
      <c r="C102" s="117" t="str">
        <f aca="false">zeige.Jahrtxt</f>
        <v> Jahre</v>
      </c>
      <c r="D102" s="116" t="n">
        <f aca="false">zeige.Monat</f>
        <v>0</v>
      </c>
      <c r="E102" s="117" t="str">
        <f aca="false">zeige.Monattxt</f>
        <v> </v>
      </c>
      <c r="F102" s="123" t="n">
        <f aca="false">rechne.Zahlungstermine</f>
        <v>46356</v>
      </c>
      <c r="G102" s="119" t="str">
        <f aca="false">rechne.Restkredit</f>
        <v> </v>
      </c>
      <c r="H102" s="119" t="str">
        <f aca="false">rechne.Zinsen</f>
        <v> </v>
      </c>
      <c r="I102" s="119" t="str">
        <f aca="false">rechne.Tilgung</f>
        <v> </v>
      </c>
      <c r="J102" s="119" t="str">
        <f aca="false">rechne.Betrag</f>
        <v> </v>
      </c>
      <c r="K102" s="119"/>
      <c r="L102" s="119" t="str">
        <f aca="false">rechne.GesZins</f>
        <v> </v>
      </c>
      <c r="M102" s="119" t="str">
        <f aca="false">rechne.GesTilg</f>
        <v> </v>
      </c>
      <c r="N102" s="119" t="str">
        <f aca="false">rechne.GesAufwand</f>
        <v> </v>
      </c>
      <c r="O102" s="120"/>
      <c r="P102" s="117" t="str">
        <f aca="false">rechne.AnzMonate</f>
        <v> </v>
      </c>
      <c r="Q102" s="124"/>
      <c r="R102" s="126"/>
      <c r="S102" s="126"/>
      <c r="T102" s="126"/>
      <c r="U102" s="126"/>
      <c r="V102" s="126"/>
      <c r="W102" s="126"/>
      <c r="X102" s="126"/>
      <c r="Y102" s="126"/>
      <c r="Z102" s="126"/>
      <c r="AA102" s="126"/>
      <c r="AB102" s="126"/>
      <c r="AC102" s="126"/>
    </row>
    <row r="103" customFormat="false" ht="12" hidden="false" customHeight="false" outlineLevel="0" collapsed="false">
      <c r="A103" s="116"/>
      <c r="B103" s="116" t="n">
        <f aca="false">zeige.Jahr</f>
        <v>7</v>
      </c>
      <c r="C103" s="117" t="str">
        <f aca="false">zeige.Jahrtxt</f>
        <v> Jahre</v>
      </c>
      <c r="D103" s="116" t="n">
        <f aca="false">zeige.Monat</f>
        <v>1</v>
      </c>
      <c r="E103" s="117" t="str">
        <f aca="false">zeige.Monattxt</f>
        <v> Monat</v>
      </c>
      <c r="F103" s="123" t="n">
        <f aca="false">rechne.Zahlungstermine</f>
        <v>46387</v>
      </c>
      <c r="G103" s="119" t="str">
        <f aca="false">rechne.Restkredit</f>
        <v> </v>
      </c>
      <c r="H103" s="119" t="str">
        <f aca="false">rechne.Zinsen</f>
        <v> </v>
      </c>
      <c r="I103" s="119" t="str">
        <f aca="false">rechne.Tilgung</f>
        <v> </v>
      </c>
      <c r="J103" s="119" t="str">
        <f aca="false">rechne.Betrag</f>
        <v> </v>
      </c>
      <c r="K103" s="119"/>
      <c r="L103" s="119" t="str">
        <f aca="false">rechne.GesZins</f>
        <v> </v>
      </c>
      <c r="M103" s="119" t="str">
        <f aca="false">rechne.GesTilg</f>
        <v> </v>
      </c>
      <c r="N103" s="119" t="str">
        <f aca="false">rechne.GesAufwand</f>
        <v> </v>
      </c>
      <c r="O103" s="120"/>
      <c r="P103" s="117" t="str">
        <f aca="false">rechne.AnzMonate</f>
        <v> </v>
      </c>
      <c r="Q103" s="124"/>
      <c r="R103" s="126"/>
      <c r="S103" s="126"/>
      <c r="T103" s="126"/>
      <c r="U103" s="126"/>
      <c r="V103" s="126"/>
      <c r="W103" s="126"/>
      <c r="X103" s="126"/>
      <c r="Y103" s="126"/>
      <c r="Z103" s="126"/>
      <c r="AA103" s="126"/>
      <c r="AB103" s="126"/>
      <c r="AC103" s="126"/>
    </row>
    <row r="104" customFormat="false" ht="12" hidden="false" customHeight="false" outlineLevel="0" collapsed="false">
      <c r="A104" s="116"/>
      <c r="B104" s="116" t="n">
        <f aca="false">zeige.Jahr</f>
        <v>7</v>
      </c>
      <c r="C104" s="117" t="str">
        <f aca="false">zeige.Jahrtxt</f>
        <v> Jahre</v>
      </c>
      <c r="D104" s="116" t="n">
        <f aca="false">zeige.Monat</f>
        <v>2</v>
      </c>
      <c r="E104" s="117" t="str">
        <f aca="false">zeige.Monattxt</f>
        <v> Monate</v>
      </c>
      <c r="F104" s="123" t="n">
        <f aca="false">rechne.Zahlungstermine</f>
        <v>46418</v>
      </c>
      <c r="G104" s="119" t="str">
        <f aca="false">rechne.Restkredit</f>
        <v> </v>
      </c>
      <c r="H104" s="119" t="str">
        <f aca="false">rechne.Zinsen</f>
        <v> </v>
      </c>
      <c r="I104" s="119" t="str">
        <f aca="false">rechne.Tilgung</f>
        <v> </v>
      </c>
      <c r="J104" s="119" t="str">
        <f aca="false">rechne.Betrag</f>
        <v> </v>
      </c>
      <c r="K104" s="119"/>
      <c r="L104" s="119" t="str">
        <f aca="false">rechne.GesZins</f>
        <v> </v>
      </c>
      <c r="M104" s="119" t="str">
        <f aca="false">rechne.GesTilg</f>
        <v> </v>
      </c>
      <c r="N104" s="119" t="str">
        <f aca="false">rechne.GesAufwand</f>
        <v> </v>
      </c>
      <c r="O104" s="120"/>
      <c r="P104" s="117" t="str">
        <f aca="false">rechne.AnzMonate</f>
        <v> </v>
      </c>
      <c r="Q104" s="124"/>
      <c r="R104" s="126"/>
      <c r="S104" s="126"/>
      <c r="T104" s="126"/>
      <c r="U104" s="126"/>
      <c r="V104" s="126"/>
      <c r="W104" s="126"/>
      <c r="X104" s="126"/>
      <c r="Y104" s="126"/>
      <c r="Z104" s="126"/>
      <c r="AA104" s="126"/>
      <c r="AB104" s="126"/>
      <c r="AC104" s="126"/>
    </row>
    <row r="105" customFormat="false" ht="12" hidden="false" customHeight="false" outlineLevel="0" collapsed="false">
      <c r="A105" s="116"/>
      <c r="B105" s="116" t="n">
        <f aca="false">zeige.Jahr</f>
        <v>7</v>
      </c>
      <c r="C105" s="117" t="str">
        <f aca="false">zeige.Jahrtxt</f>
        <v> Jahre</v>
      </c>
      <c r="D105" s="116" t="n">
        <f aca="false">zeige.Monat</f>
        <v>3</v>
      </c>
      <c r="E105" s="117" t="str">
        <f aca="false">zeige.Monattxt</f>
        <v> Monate</v>
      </c>
      <c r="F105" s="123" t="n">
        <f aca="false">rechne.Zahlungstermine</f>
        <v>46446</v>
      </c>
      <c r="G105" s="119" t="str">
        <f aca="false">rechne.Restkredit</f>
        <v> </v>
      </c>
      <c r="H105" s="119" t="str">
        <f aca="false">rechne.Zinsen</f>
        <v> </v>
      </c>
      <c r="I105" s="119" t="str">
        <f aca="false">rechne.Tilgung</f>
        <v> </v>
      </c>
      <c r="J105" s="119" t="str">
        <f aca="false">rechne.Betrag</f>
        <v> </v>
      </c>
      <c r="K105" s="119"/>
      <c r="L105" s="119" t="str">
        <f aca="false">rechne.GesZins</f>
        <v> </v>
      </c>
      <c r="M105" s="119" t="str">
        <f aca="false">rechne.GesTilg</f>
        <v> </v>
      </c>
      <c r="N105" s="119" t="str">
        <f aca="false">rechne.GesAufwand</f>
        <v> </v>
      </c>
      <c r="O105" s="120"/>
      <c r="P105" s="117" t="str">
        <f aca="false">rechne.AnzMonate</f>
        <v> </v>
      </c>
      <c r="Q105" s="124"/>
      <c r="R105" s="126"/>
      <c r="S105" s="126"/>
      <c r="T105" s="126"/>
      <c r="U105" s="126"/>
      <c r="V105" s="126"/>
      <c r="W105" s="126"/>
      <c r="X105" s="126"/>
      <c r="Y105" s="126"/>
      <c r="Z105" s="126"/>
      <c r="AA105" s="126"/>
      <c r="AB105" s="126"/>
      <c r="AC105" s="126"/>
    </row>
    <row r="106" customFormat="false" ht="12" hidden="false" customHeight="false" outlineLevel="0" collapsed="false">
      <c r="A106" s="116"/>
      <c r="B106" s="116" t="n">
        <f aca="false">zeige.Jahr</f>
        <v>7</v>
      </c>
      <c r="C106" s="117" t="str">
        <f aca="false">zeige.Jahrtxt</f>
        <v> Jahre</v>
      </c>
      <c r="D106" s="116" t="n">
        <f aca="false">zeige.Monat</f>
        <v>4</v>
      </c>
      <c r="E106" s="117" t="str">
        <f aca="false">zeige.Monattxt</f>
        <v> Monate</v>
      </c>
      <c r="F106" s="123" t="n">
        <f aca="false">rechne.Zahlungstermine</f>
        <v>46477</v>
      </c>
      <c r="G106" s="119" t="str">
        <f aca="false">rechne.Restkredit</f>
        <v> </v>
      </c>
      <c r="H106" s="119" t="str">
        <f aca="false">rechne.Zinsen</f>
        <v> </v>
      </c>
      <c r="I106" s="119" t="str">
        <f aca="false">rechne.Tilgung</f>
        <v> </v>
      </c>
      <c r="J106" s="119" t="str">
        <f aca="false">rechne.Betrag</f>
        <v> </v>
      </c>
      <c r="K106" s="119"/>
      <c r="L106" s="119" t="str">
        <f aca="false">rechne.GesZins</f>
        <v> </v>
      </c>
      <c r="M106" s="119" t="str">
        <f aca="false">rechne.GesTilg</f>
        <v> </v>
      </c>
      <c r="N106" s="119" t="str">
        <f aca="false">rechne.GesAufwand</f>
        <v> </v>
      </c>
      <c r="O106" s="120"/>
      <c r="P106" s="117" t="str">
        <f aca="false">rechne.AnzMonate</f>
        <v> </v>
      </c>
      <c r="Q106" s="124"/>
      <c r="R106" s="126"/>
      <c r="S106" s="126"/>
      <c r="T106" s="126"/>
      <c r="U106" s="126"/>
      <c r="V106" s="126"/>
      <c r="W106" s="126"/>
      <c r="X106" s="126"/>
      <c r="Y106" s="126"/>
      <c r="Z106" s="126"/>
      <c r="AA106" s="126"/>
      <c r="AB106" s="126"/>
      <c r="AC106" s="126"/>
    </row>
    <row r="107" customFormat="false" ht="12" hidden="false" customHeight="false" outlineLevel="0" collapsed="false">
      <c r="A107" s="116"/>
      <c r="B107" s="116" t="n">
        <f aca="false">zeige.Jahr</f>
        <v>7</v>
      </c>
      <c r="C107" s="117" t="str">
        <f aca="false">zeige.Jahrtxt</f>
        <v> Jahre</v>
      </c>
      <c r="D107" s="116" t="n">
        <f aca="false">zeige.Monat</f>
        <v>5</v>
      </c>
      <c r="E107" s="117" t="str">
        <f aca="false">zeige.Monattxt</f>
        <v> Monate</v>
      </c>
      <c r="F107" s="123" t="n">
        <f aca="false">rechne.Zahlungstermine</f>
        <v>46507</v>
      </c>
      <c r="G107" s="119" t="str">
        <f aca="false">rechne.Restkredit</f>
        <v> </v>
      </c>
      <c r="H107" s="119" t="str">
        <f aca="false">rechne.Zinsen</f>
        <v> </v>
      </c>
      <c r="I107" s="119" t="str">
        <f aca="false">rechne.Tilgung</f>
        <v> </v>
      </c>
      <c r="J107" s="119" t="str">
        <f aca="false">rechne.Betrag</f>
        <v> </v>
      </c>
      <c r="K107" s="119"/>
      <c r="L107" s="119" t="str">
        <f aca="false">rechne.GesZins</f>
        <v> </v>
      </c>
      <c r="M107" s="119" t="str">
        <f aca="false">rechne.GesTilg</f>
        <v> </v>
      </c>
      <c r="N107" s="119" t="str">
        <f aca="false">rechne.GesAufwand</f>
        <v> </v>
      </c>
      <c r="O107" s="120"/>
      <c r="P107" s="117" t="str">
        <f aca="false">rechne.AnzMonate</f>
        <v> </v>
      </c>
      <c r="Q107" s="124"/>
      <c r="R107" s="126"/>
      <c r="S107" s="126"/>
      <c r="T107" s="126"/>
      <c r="U107" s="126"/>
      <c r="V107" s="126"/>
      <c r="W107" s="126"/>
      <c r="X107" s="126"/>
      <c r="Y107" s="126"/>
      <c r="Z107" s="126"/>
      <c r="AA107" s="126"/>
      <c r="AB107" s="126"/>
      <c r="AC107" s="126"/>
    </row>
    <row r="108" customFormat="false" ht="12" hidden="false" customHeight="false" outlineLevel="0" collapsed="false">
      <c r="A108" s="116"/>
      <c r="B108" s="116" t="n">
        <f aca="false">zeige.Jahr</f>
        <v>7</v>
      </c>
      <c r="C108" s="117" t="str">
        <f aca="false">zeige.Jahrtxt</f>
        <v> Jahre</v>
      </c>
      <c r="D108" s="116" t="n">
        <f aca="false">zeige.Monat</f>
        <v>6</v>
      </c>
      <c r="E108" s="117" t="str">
        <f aca="false">zeige.Monattxt</f>
        <v> Monate</v>
      </c>
      <c r="F108" s="123" t="n">
        <f aca="false">rechne.Zahlungstermine</f>
        <v>46538</v>
      </c>
      <c r="G108" s="119" t="str">
        <f aca="false">rechne.Restkredit</f>
        <v> </v>
      </c>
      <c r="H108" s="119" t="str">
        <f aca="false">rechne.Zinsen</f>
        <v> </v>
      </c>
      <c r="I108" s="119" t="str">
        <f aca="false">rechne.Tilgung</f>
        <v> </v>
      </c>
      <c r="J108" s="119" t="str">
        <f aca="false">rechne.Betrag</f>
        <v> </v>
      </c>
      <c r="K108" s="119"/>
      <c r="L108" s="119" t="str">
        <f aca="false">rechne.GesZins</f>
        <v> </v>
      </c>
      <c r="M108" s="119" t="str">
        <f aca="false">rechne.GesTilg</f>
        <v> </v>
      </c>
      <c r="N108" s="119" t="str">
        <f aca="false">rechne.GesAufwand</f>
        <v> </v>
      </c>
      <c r="O108" s="120"/>
      <c r="P108" s="117" t="str">
        <f aca="false">rechne.AnzMonate</f>
        <v> </v>
      </c>
      <c r="Q108" s="124"/>
      <c r="R108" s="126"/>
      <c r="S108" s="126"/>
      <c r="T108" s="126"/>
      <c r="U108" s="126"/>
      <c r="V108" s="126"/>
      <c r="W108" s="126"/>
      <c r="X108" s="126"/>
      <c r="Y108" s="126"/>
      <c r="Z108" s="126"/>
      <c r="AA108" s="126"/>
      <c r="AB108" s="126"/>
      <c r="AC108" s="126"/>
    </row>
    <row r="109" customFormat="false" ht="12" hidden="false" customHeight="false" outlineLevel="0" collapsed="false">
      <c r="A109" s="116"/>
      <c r="B109" s="116" t="n">
        <f aca="false">zeige.Jahr</f>
        <v>7</v>
      </c>
      <c r="C109" s="117" t="str">
        <f aca="false">zeige.Jahrtxt</f>
        <v> Jahre</v>
      </c>
      <c r="D109" s="116" t="n">
        <f aca="false">zeige.Monat</f>
        <v>7</v>
      </c>
      <c r="E109" s="117" t="str">
        <f aca="false">zeige.Monattxt</f>
        <v> Monate</v>
      </c>
      <c r="F109" s="123" t="n">
        <f aca="false">rechne.Zahlungstermine</f>
        <v>46568</v>
      </c>
      <c r="G109" s="119" t="str">
        <f aca="false">rechne.Restkredit</f>
        <v> </v>
      </c>
      <c r="H109" s="119" t="str">
        <f aca="false">rechne.Zinsen</f>
        <v> </v>
      </c>
      <c r="I109" s="119" t="str">
        <f aca="false">rechne.Tilgung</f>
        <v> </v>
      </c>
      <c r="J109" s="119" t="str">
        <f aca="false">rechne.Betrag</f>
        <v> </v>
      </c>
      <c r="K109" s="119"/>
      <c r="L109" s="119" t="str">
        <f aca="false">rechne.GesZins</f>
        <v> </v>
      </c>
      <c r="M109" s="119" t="str">
        <f aca="false">rechne.GesTilg</f>
        <v> </v>
      </c>
      <c r="N109" s="119" t="str">
        <f aca="false">rechne.GesAufwand</f>
        <v> </v>
      </c>
      <c r="O109" s="120"/>
      <c r="P109" s="117" t="str">
        <f aca="false">rechne.AnzMonate</f>
        <v> </v>
      </c>
      <c r="Q109" s="124"/>
      <c r="R109" s="126"/>
      <c r="S109" s="126"/>
      <c r="T109" s="126"/>
      <c r="U109" s="126"/>
      <c r="V109" s="126"/>
      <c r="W109" s="126"/>
      <c r="X109" s="126"/>
      <c r="Y109" s="126"/>
      <c r="Z109" s="126"/>
      <c r="AA109" s="126"/>
      <c r="AB109" s="126"/>
      <c r="AC109" s="126"/>
    </row>
    <row r="110" customFormat="false" ht="12" hidden="false" customHeight="false" outlineLevel="0" collapsed="false">
      <c r="A110" s="116"/>
      <c r="B110" s="116" t="n">
        <f aca="false">zeige.Jahr</f>
        <v>7</v>
      </c>
      <c r="C110" s="117" t="str">
        <f aca="false">zeige.Jahrtxt</f>
        <v> Jahre</v>
      </c>
      <c r="D110" s="116" t="n">
        <f aca="false">zeige.Monat</f>
        <v>8</v>
      </c>
      <c r="E110" s="117" t="str">
        <f aca="false">zeige.Monattxt</f>
        <v> Monate</v>
      </c>
      <c r="F110" s="123" t="n">
        <f aca="false">rechne.Zahlungstermine</f>
        <v>46599</v>
      </c>
      <c r="G110" s="119" t="str">
        <f aca="false">rechne.Restkredit</f>
        <v> </v>
      </c>
      <c r="H110" s="119" t="str">
        <f aca="false">rechne.Zinsen</f>
        <v> </v>
      </c>
      <c r="I110" s="119" t="str">
        <f aca="false">rechne.Tilgung</f>
        <v> </v>
      </c>
      <c r="J110" s="119" t="str">
        <f aca="false">rechne.Betrag</f>
        <v> </v>
      </c>
      <c r="K110" s="119"/>
      <c r="L110" s="119" t="str">
        <f aca="false">rechne.GesZins</f>
        <v> </v>
      </c>
      <c r="M110" s="119" t="str">
        <f aca="false">rechne.GesTilg</f>
        <v> </v>
      </c>
      <c r="N110" s="119" t="str">
        <f aca="false">rechne.GesAufwand</f>
        <v> </v>
      </c>
      <c r="O110" s="120"/>
      <c r="P110" s="117" t="str">
        <f aca="false">rechne.AnzMonate</f>
        <v> </v>
      </c>
      <c r="Q110" s="124"/>
      <c r="R110" s="126"/>
      <c r="S110" s="126"/>
      <c r="T110" s="126"/>
      <c r="U110" s="126"/>
      <c r="V110" s="126"/>
      <c r="W110" s="126"/>
      <c r="X110" s="126"/>
      <c r="Y110" s="126"/>
      <c r="Z110" s="126"/>
      <c r="AA110" s="126"/>
      <c r="AB110" s="126"/>
      <c r="AC110" s="126"/>
    </row>
    <row r="111" customFormat="false" ht="12" hidden="false" customHeight="false" outlineLevel="0" collapsed="false">
      <c r="A111" s="116"/>
      <c r="B111" s="116" t="n">
        <f aca="false">zeige.Jahr</f>
        <v>7</v>
      </c>
      <c r="C111" s="117" t="str">
        <f aca="false">zeige.Jahrtxt</f>
        <v> Jahre</v>
      </c>
      <c r="D111" s="116" t="n">
        <f aca="false">zeige.Monat</f>
        <v>9</v>
      </c>
      <c r="E111" s="117" t="str">
        <f aca="false">zeige.Monattxt</f>
        <v> Monate</v>
      </c>
      <c r="F111" s="123" t="n">
        <f aca="false">rechne.Zahlungstermine</f>
        <v>46630</v>
      </c>
      <c r="G111" s="119" t="str">
        <f aca="false">rechne.Restkredit</f>
        <v> </v>
      </c>
      <c r="H111" s="119" t="str">
        <f aca="false">rechne.Zinsen</f>
        <v> </v>
      </c>
      <c r="I111" s="119" t="str">
        <f aca="false">rechne.Tilgung</f>
        <v> </v>
      </c>
      <c r="J111" s="119" t="str">
        <f aca="false">rechne.Betrag</f>
        <v> </v>
      </c>
      <c r="K111" s="119"/>
      <c r="L111" s="119" t="str">
        <f aca="false">rechne.GesZins</f>
        <v> </v>
      </c>
      <c r="M111" s="119" t="str">
        <f aca="false">rechne.GesTilg</f>
        <v> </v>
      </c>
      <c r="N111" s="119" t="str">
        <f aca="false">rechne.GesAufwand</f>
        <v> </v>
      </c>
      <c r="O111" s="120"/>
      <c r="P111" s="117" t="str">
        <f aca="false">rechne.AnzMonate</f>
        <v> </v>
      </c>
      <c r="Q111" s="124"/>
      <c r="R111" s="126"/>
      <c r="S111" s="126"/>
      <c r="T111" s="126"/>
      <c r="U111" s="126"/>
      <c r="V111" s="126"/>
      <c r="W111" s="126"/>
      <c r="X111" s="126"/>
      <c r="Y111" s="126"/>
      <c r="Z111" s="126"/>
      <c r="AA111" s="126"/>
      <c r="AB111" s="126"/>
      <c r="AC111" s="126"/>
    </row>
    <row r="112" customFormat="false" ht="12" hidden="false" customHeight="false" outlineLevel="0" collapsed="false">
      <c r="A112" s="116"/>
      <c r="B112" s="116" t="n">
        <f aca="false">zeige.Jahr</f>
        <v>7</v>
      </c>
      <c r="C112" s="117" t="str">
        <f aca="false">zeige.Jahrtxt</f>
        <v> Jahre</v>
      </c>
      <c r="D112" s="116" t="n">
        <f aca="false">zeige.Monat</f>
        <v>10</v>
      </c>
      <c r="E112" s="117" t="str">
        <f aca="false">zeige.Monattxt</f>
        <v> Monate</v>
      </c>
      <c r="F112" s="123" t="n">
        <f aca="false">rechne.Zahlungstermine</f>
        <v>46660</v>
      </c>
      <c r="G112" s="119" t="str">
        <f aca="false">rechne.Restkredit</f>
        <v> </v>
      </c>
      <c r="H112" s="119" t="str">
        <f aca="false">rechne.Zinsen</f>
        <v> </v>
      </c>
      <c r="I112" s="119" t="str">
        <f aca="false">rechne.Tilgung</f>
        <v> </v>
      </c>
      <c r="J112" s="119" t="str">
        <f aca="false">rechne.Betrag</f>
        <v> </v>
      </c>
      <c r="K112" s="119"/>
      <c r="L112" s="119" t="str">
        <f aca="false">rechne.GesZins</f>
        <v> </v>
      </c>
      <c r="M112" s="119" t="str">
        <f aca="false">rechne.GesTilg</f>
        <v> </v>
      </c>
      <c r="N112" s="119" t="str">
        <f aca="false">rechne.GesAufwand</f>
        <v> </v>
      </c>
      <c r="O112" s="120"/>
      <c r="P112" s="117" t="str">
        <f aca="false">rechne.AnzMonate</f>
        <v> </v>
      </c>
      <c r="Q112" s="124"/>
      <c r="R112" s="126"/>
      <c r="S112" s="126"/>
      <c r="T112" s="126"/>
      <c r="U112" s="126"/>
      <c r="V112" s="126"/>
      <c r="W112" s="126"/>
      <c r="X112" s="126"/>
      <c r="Y112" s="126"/>
      <c r="Z112" s="126"/>
      <c r="AA112" s="126"/>
      <c r="AB112" s="126"/>
      <c r="AC112" s="126"/>
    </row>
    <row r="113" customFormat="false" ht="12" hidden="false" customHeight="false" outlineLevel="0" collapsed="false">
      <c r="A113" s="116"/>
      <c r="B113" s="116" t="n">
        <f aca="false">zeige.Jahr</f>
        <v>7</v>
      </c>
      <c r="C113" s="117" t="str">
        <f aca="false">zeige.Jahrtxt</f>
        <v> Jahre</v>
      </c>
      <c r="D113" s="116" t="n">
        <f aca="false">zeige.Monat</f>
        <v>11</v>
      </c>
      <c r="E113" s="117" t="str">
        <f aca="false">zeige.Monattxt</f>
        <v> Monate</v>
      </c>
      <c r="F113" s="123" t="n">
        <f aca="false">rechne.Zahlungstermine</f>
        <v>46691</v>
      </c>
      <c r="G113" s="119" t="str">
        <f aca="false">rechne.Restkredit</f>
        <v> </v>
      </c>
      <c r="H113" s="119" t="str">
        <f aca="false">rechne.Zinsen</f>
        <v> </v>
      </c>
      <c r="I113" s="119" t="str">
        <f aca="false">rechne.Tilgung</f>
        <v> </v>
      </c>
      <c r="J113" s="119" t="str">
        <f aca="false">rechne.Betrag</f>
        <v> </v>
      </c>
      <c r="K113" s="119"/>
      <c r="L113" s="119" t="str">
        <f aca="false">rechne.GesZins</f>
        <v> </v>
      </c>
      <c r="M113" s="119" t="str">
        <f aca="false">rechne.GesTilg</f>
        <v> </v>
      </c>
      <c r="N113" s="119" t="str">
        <f aca="false">rechne.GesAufwand</f>
        <v> </v>
      </c>
      <c r="O113" s="120"/>
      <c r="P113" s="117" t="str">
        <f aca="false">rechne.AnzMonate</f>
        <v> </v>
      </c>
      <c r="Q113" s="124"/>
      <c r="R113" s="126"/>
      <c r="S113" s="126"/>
      <c r="T113" s="126"/>
      <c r="U113" s="126"/>
      <c r="V113" s="126"/>
      <c r="W113" s="126"/>
      <c r="X113" s="126"/>
      <c r="Y113" s="126"/>
      <c r="Z113" s="126"/>
      <c r="AA113" s="126"/>
      <c r="AB113" s="126"/>
      <c r="AC113" s="126"/>
    </row>
    <row r="114" customFormat="false" ht="12" hidden="false" customHeight="false" outlineLevel="0" collapsed="false">
      <c r="A114" s="116"/>
      <c r="B114" s="116" t="n">
        <f aca="false">zeige.Jahr</f>
        <v>8</v>
      </c>
      <c r="C114" s="117" t="str">
        <f aca="false">zeige.Jahrtxt</f>
        <v> Jahre</v>
      </c>
      <c r="D114" s="116" t="n">
        <f aca="false">zeige.Monat</f>
        <v>0</v>
      </c>
      <c r="E114" s="117" t="str">
        <f aca="false">zeige.Monattxt</f>
        <v> </v>
      </c>
      <c r="F114" s="123" t="n">
        <f aca="false">rechne.Zahlungstermine</f>
        <v>46721</v>
      </c>
      <c r="G114" s="119" t="str">
        <f aca="false">rechne.Restkredit</f>
        <v> </v>
      </c>
      <c r="H114" s="119" t="str">
        <f aca="false">rechne.Zinsen</f>
        <v> </v>
      </c>
      <c r="I114" s="119" t="str">
        <f aca="false">rechne.Tilgung</f>
        <v> </v>
      </c>
      <c r="J114" s="119" t="str">
        <f aca="false">rechne.Betrag</f>
        <v> </v>
      </c>
      <c r="K114" s="119"/>
      <c r="L114" s="119" t="str">
        <f aca="false">rechne.GesZins</f>
        <v> </v>
      </c>
      <c r="M114" s="119" t="str">
        <f aca="false">rechne.GesTilg</f>
        <v> </v>
      </c>
      <c r="N114" s="119" t="str">
        <f aca="false">rechne.GesAufwand</f>
        <v> </v>
      </c>
      <c r="O114" s="120"/>
      <c r="P114" s="117" t="str">
        <f aca="false">rechne.AnzMonate</f>
        <v> </v>
      </c>
      <c r="Q114" s="124"/>
      <c r="R114" s="126"/>
      <c r="S114" s="126"/>
      <c r="T114" s="126"/>
      <c r="U114" s="126"/>
      <c r="V114" s="126"/>
      <c r="W114" s="126"/>
      <c r="X114" s="126"/>
      <c r="Y114" s="126"/>
      <c r="Z114" s="126"/>
      <c r="AA114" s="126"/>
      <c r="AB114" s="126"/>
      <c r="AC114" s="126"/>
    </row>
    <row r="115" customFormat="false" ht="12" hidden="false" customHeight="false" outlineLevel="0" collapsed="false">
      <c r="A115" s="116"/>
      <c r="B115" s="116" t="n">
        <f aca="false">zeige.Jahr</f>
        <v>8</v>
      </c>
      <c r="C115" s="117" t="str">
        <f aca="false">zeige.Jahrtxt</f>
        <v> Jahre</v>
      </c>
      <c r="D115" s="116" t="n">
        <f aca="false">zeige.Monat</f>
        <v>1</v>
      </c>
      <c r="E115" s="117" t="str">
        <f aca="false">zeige.Monattxt</f>
        <v> Monat</v>
      </c>
      <c r="F115" s="123" t="n">
        <f aca="false">rechne.Zahlungstermine</f>
        <v>46752</v>
      </c>
      <c r="G115" s="119" t="str">
        <f aca="false">rechne.Restkredit</f>
        <v> </v>
      </c>
      <c r="H115" s="119" t="str">
        <f aca="false">rechne.Zinsen</f>
        <v> </v>
      </c>
      <c r="I115" s="119" t="str">
        <f aca="false">rechne.Tilgung</f>
        <v> </v>
      </c>
      <c r="J115" s="119" t="str">
        <f aca="false">rechne.Betrag</f>
        <v> </v>
      </c>
      <c r="K115" s="119"/>
      <c r="L115" s="119" t="str">
        <f aca="false">rechne.GesZins</f>
        <v> </v>
      </c>
      <c r="M115" s="119" t="str">
        <f aca="false">rechne.GesTilg</f>
        <v> </v>
      </c>
      <c r="N115" s="119" t="str">
        <f aca="false">rechne.GesAufwand</f>
        <v> </v>
      </c>
      <c r="O115" s="120"/>
      <c r="P115" s="117" t="str">
        <f aca="false">rechne.AnzMonate</f>
        <v> </v>
      </c>
      <c r="Q115" s="124"/>
      <c r="R115" s="126"/>
      <c r="S115" s="126"/>
      <c r="T115" s="126"/>
      <c r="U115" s="126"/>
      <c r="V115" s="126"/>
      <c r="W115" s="126"/>
      <c r="X115" s="126"/>
      <c r="Y115" s="126"/>
      <c r="Z115" s="126"/>
      <c r="AA115" s="126"/>
      <c r="AB115" s="126"/>
      <c r="AC115" s="126"/>
    </row>
    <row r="116" customFormat="false" ht="12" hidden="false" customHeight="false" outlineLevel="0" collapsed="false">
      <c r="A116" s="116"/>
      <c r="B116" s="116" t="n">
        <f aca="false">zeige.Jahr</f>
        <v>8</v>
      </c>
      <c r="C116" s="117" t="str">
        <f aca="false">zeige.Jahrtxt</f>
        <v> Jahre</v>
      </c>
      <c r="D116" s="116" t="n">
        <f aca="false">zeige.Monat</f>
        <v>2</v>
      </c>
      <c r="E116" s="117" t="str">
        <f aca="false">zeige.Monattxt</f>
        <v> Monate</v>
      </c>
      <c r="F116" s="123" t="n">
        <f aca="false">rechne.Zahlungstermine</f>
        <v>46783</v>
      </c>
      <c r="G116" s="119" t="str">
        <f aca="false">rechne.Restkredit</f>
        <v> </v>
      </c>
      <c r="H116" s="119" t="str">
        <f aca="false">rechne.Zinsen</f>
        <v> </v>
      </c>
      <c r="I116" s="119" t="str">
        <f aca="false">rechne.Tilgung</f>
        <v> </v>
      </c>
      <c r="J116" s="119" t="str">
        <f aca="false">rechne.Betrag</f>
        <v> </v>
      </c>
      <c r="K116" s="119"/>
      <c r="L116" s="119" t="str">
        <f aca="false">rechne.GesZins</f>
        <v> </v>
      </c>
      <c r="M116" s="119" t="str">
        <f aca="false">rechne.GesTilg</f>
        <v> </v>
      </c>
      <c r="N116" s="119" t="str">
        <f aca="false">rechne.GesAufwand</f>
        <v> </v>
      </c>
      <c r="O116" s="120"/>
      <c r="P116" s="117" t="str">
        <f aca="false">rechne.AnzMonate</f>
        <v> </v>
      </c>
      <c r="Q116" s="124"/>
      <c r="R116" s="126"/>
      <c r="S116" s="126"/>
      <c r="T116" s="126"/>
      <c r="U116" s="126"/>
      <c r="V116" s="126"/>
      <c r="W116" s="126"/>
      <c r="X116" s="126"/>
      <c r="Y116" s="126"/>
      <c r="Z116" s="126"/>
      <c r="AA116" s="126"/>
      <c r="AB116" s="126"/>
      <c r="AC116" s="126"/>
    </row>
    <row r="117" customFormat="false" ht="12" hidden="false" customHeight="false" outlineLevel="0" collapsed="false">
      <c r="A117" s="116"/>
      <c r="B117" s="116" t="n">
        <f aca="false">zeige.Jahr</f>
        <v>8</v>
      </c>
      <c r="C117" s="117" t="str">
        <f aca="false">zeige.Jahrtxt</f>
        <v> Jahre</v>
      </c>
      <c r="D117" s="116" t="n">
        <f aca="false">zeige.Monat</f>
        <v>3</v>
      </c>
      <c r="E117" s="117" t="str">
        <f aca="false">zeige.Monattxt</f>
        <v> Monate</v>
      </c>
      <c r="F117" s="123" t="n">
        <f aca="false">rechne.Zahlungstermine</f>
        <v>46812</v>
      </c>
      <c r="G117" s="119" t="str">
        <f aca="false">rechne.Restkredit</f>
        <v> </v>
      </c>
      <c r="H117" s="119" t="str">
        <f aca="false">rechne.Zinsen</f>
        <v> </v>
      </c>
      <c r="I117" s="119" t="str">
        <f aca="false">rechne.Tilgung</f>
        <v> </v>
      </c>
      <c r="J117" s="119" t="str">
        <f aca="false">rechne.Betrag</f>
        <v> </v>
      </c>
      <c r="K117" s="119"/>
      <c r="L117" s="119" t="str">
        <f aca="false">rechne.GesZins</f>
        <v> </v>
      </c>
      <c r="M117" s="119" t="str">
        <f aca="false">rechne.GesTilg</f>
        <v> </v>
      </c>
      <c r="N117" s="119" t="str">
        <f aca="false">rechne.GesAufwand</f>
        <v> </v>
      </c>
      <c r="O117" s="120"/>
      <c r="P117" s="117" t="str">
        <f aca="false">rechne.AnzMonate</f>
        <v> </v>
      </c>
      <c r="Q117" s="124"/>
      <c r="R117" s="126"/>
      <c r="S117" s="126"/>
      <c r="T117" s="126"/>
      <c r="U117" s="126"/>
      <c r="V117" s="126"/>
      <c r="W117" s="126"/>
      <c r="X117" s="126"/>
      <c r="Y117" s="126"/>
      <c r="Z117" s="126"/>
      <c r="AA117" s="126"/>
      <c r="AB117" s="126"/>
      <c r="AC117" s="126"/>
    </row>
    <row r="118" customFormat="false" ht="12" hidden="false" customHeight="false" outlineLevel="0" collapsed="false">
      <c r="A118" s="116"/>
      <c r="B118" s="116" t="n">
        <f aca="false">zeige.Jahr</f>
        <v>8</v>
      </c>
      <c r="C118" s="117" t="str">
        <f aca="false">zeige.Jahrtxt</f>
        <v> Jahre</v>
      </c>
      <c r="D118" s="116" t="n">
        <f aca="false">zeige.Monat</f>
        <v>4</v>
      </c>
      <c r="E118" s="117" t="str">
        <f aca="false">zeige.Monattxt</f>
        <v> Monate</v>
      </c>
      <c r="F118" s="123" t="n">
        <f aca="false">rechne.Zahlungstermine</f>
        <v>46843</v>
      </c>
      <c r="G118" s="119" t="str">
        <f aca="false">rechne.Restkredit</f>
        <v> </v>
      </c>
      <c r="H118" s="119" t="str">
        <f aca="false">rechne.Zinsen</f>
        <v> </v>
      </c>
      <c r="I118" s="119" t="str">
        <f aca="false">rechne.Tilgung</f>
        <v> </v>
      </c>
      <c r="J118" s="119" t="str">
        <f aca="false">rechne.Betrag</f>
        <v> </v>
      </c>
      <c r="K118" s="119"/>
      <c r="L118" s="119" t="str">
        <f aca="false">rechne.GesZins</f>
        <v> </v>
      </c>
      <c r="M118" s="119" t="str">
        <f aca="false">rechne.GesTilg</f>
        <v> </v>
      </c>
      <c r="N118" s="119" t="str">
        <f aca="false">rechne.GesAufwand</f>
        <v> </v>
      </c>
      <c r="O118" s="120"/>
      <c r="P118" s="117" t="str">
        <f aca="false">rechne.AnzMonate</f>
        <v> </v>
      </c>
      <c r="Q118" s="124"/>
      <c r="R118" s="126"/>
      <c r="S118" s="126"/>
      <c r="T118" s="126"/>
      <c r="U118" s="126"/>
      <c r="V118" s="126"/>
      <c r="W118" s="126"/>
      <c r="X118" s="126"/>
      <c r="Y118" s="126"/>
      <c r="Z118" s="126"/>
      <c r="AA118" s="126"/>
      <c r="AB118" s="126"/>
      <c r="AC118" s="126"/>
    </row>
    <row r="119" customFormat="false" ht="12" hidden="false" customHeight="false" outlineLevel="0" collapsed="false">
      <c r="A119" s="116"/>
      <c r="B119" s="116" t="n">
        <f aca="false">zeige.Jahr</f>
        <v>8</v>
      </c>
      <c r="C119" s="117" t="str">
        <f aca="false">zeige.Jahrtxt</f>
        <v> Jahre</v>
      </c>
      <c r="D119" s="116" t="n">
        <f aca="false">zeige.Monat</f>
        <v>5</v>
      </c>
      <c r="E119" s="117" t="str">
        <f aca="false">zeige.Monattxt</f>
        <v> Monate</v>
      </c>
      <c r="F119" s="123" t="n">
        <f aca="false">rechne.Zahlungstermine</f>
        <v>46873</v>
      </c>
      <c r="G119" s="119" t="str">
        <f aca="false">rechne.Restkredit</f>
        <v> </v>
      </c>
      <c r="H119" s="119" t="str">
        <f aca="false">rechne.Zinsen</f>
        <v> </v>
      </c>
      <c r="I119" s="119" t="str">
        <f aca="false">rechne.Tilgung</f>
        <v> </v>
      </c>
      <c r="J119" s="119" t="str">
        <f aca="false">rechne.Betrag</f>
        <v> </v>
      </c>
      <c r="K119" s="119"/>
      <c r="L119" s="119" t="str">
        <f aca="false">rechne.GesZins</f>
        <v> </v>
      </c>
      <c r="M119" s="119" t="str">
        <f aca="false">rechne.GesTilg</f>
        <v> </v>
      </c>
      <c r="N119" s="119" t="str">
        <f aca="false">rechne.GesAufwand</f>
        <v> </v>
      </c>
      <c r="O119" s="120"/>
      <c r="P119" s="117" t="str">
        <f aca="false">rechne.AnzMonate</f>
        <v> </v>
      </c>
      <c r="Q119" s="124"/>
      <c r="R119" s="126"/>
      <c r="S119" s="126"/>
      <c r="T119" s="126"/>
      <c r="U119" s="126"/>
      <c r="V119" s="126"/>
      <c r="W119" s="126"/>
      <c r="X119" s="126"/>
      <c r="Y119" s="126"/>
      <c r="Z119" s="126"/>
      <c r="AA119" s="126"/>
      <c r="AB119" s="126"/>
      <c r="AC119" s="126"/>
    </row>
    <row r="120" customFormat="false" ht="12" hidden="false" customHeight="false" outlineLevel="0" collapsed="false">
      <c r="A120" s="116"/>
      <c r="B120" s="116" t="n">
        <f aca="false">zeige.Jahr</f>
        <v>8</v>
      </c>
      <c r="C120" s="117" t="str">
        <f aca="false">zeige.Jahrtxt</f>
        <v> Jahre</v>
      </c>
      <c r="D120" s="116" t="n">
        <f aca="false">zeige.Monat</f>
        <v>6</v>
      </c>
      <c r="E120" s="117" t="str">
        <f aca="false">zeige.Monattxt</f>
        <v> Monate</v>
      </c>
      <c r="F120" s="123" t="n">
        <f aca="false">rechne.Zahlungstermine</f>
        <v>46904</v>
      </c>
      <c r="G120" s="119" t="str">
        <f aca="false">rechne.Restkredit</f>
        <v> </v>
      </c>
      <c r="H120" s="119" t="str">
        <f aca="false">rechne.Zinsen</f>
        <v> </v>
      </c>
      <c r="I120" s="119" t="str">
        <f aca="false">rechne.Tilgung</f>
        <v> </v>
      </c>
      <c r="J120" s="119" t="str">
        <f aca="false">rechne.Betrag</f>
        <v> </v>
      </c>
      <c r="K120" s="119"/>
      <c r="L120" s="119" t="str">
        <f aca="false">rechne.GesZins</f>
        <v> </v>
      </c>
      <c r="M120" s="119" t="str">
        <f aca="false">rechne.GesTilg</f>
        <v> </v>
      </c>
      <c r="N120" s="119" t="str">
        <f aca="false">rechne.GesAufwand</f>
        <v> </v>
      </c>
      <c r="O120" s="120"/>
      <c r="P120" s="117" t="str">
        <f aca="false">rechne.AnzMonate</f>
        <v> </v>
      </c>
      <c r="Q120" s="124"/>
      <c r="R120" s="126"/>
      <c r="S120" s="126"/>
      <c r="T120" s="126"/>
      <c r="U120" s="126"/>
      <c r="V120" s="126"/>
      <c r="W120" s="126"/>
      <c r="X120" s="126"/>
      <c r="Y120" s="126"/>
      <c r="Z120" s="126"/>
      <c r="AA120" s="126"/>
      <c r="AB120" s="126"/>
      <c r="AC120" s="126"/>
    </row>
    <row r="121" customFormat="false" ht="12" hidden="false" customHeight="false" outlineLevel="0" collapsed="false">
      <c r="A121" s="116"/>
      <c r="B121" s="116" t="n">
        <f aca="false">zeige.Jahr</f>
        <v>8</v>
      </c>
      <c r="C121" s="117" t="str">
        <f aca="false">zeige.Jahrtxt</f>
        <v> Jahre</v>
      </c>
      <c r="D121" s="116" t="n">
        <f aca="false">zeige.Monat</f>
        <v>7</v>
      </c>
      <c r="E121" s="117" t="str">
        <f aca="false">zeige.Monattxt</f>
        <v> Monate</v>
      </c>
      <c r="F121" s="123" t="n">
        <f aca="false">rechne.Zahlungstermine</f>
        <v>46934</v>
      </c>
      <c r="G121" s="119" t="str">
        <f aca="false">rechne.Restkredit</f>
        <v> </v>
      </c>
      <c r="H121" s="119" t="str">
        <f aca="false">rechne.Zinsen</f>
        <v> </v>
      </c>
      <c r="I121" s="119" t="str">
        <f aca="false">rechne.Tilgung</f>
        <v> </v>
      </c>
      <c r="J121" s="119" t="str">
        <f aca="false">rechne.Betrag</f>
        <v> </v>
      </c>
      <c r="K121" s="119"/>
      <c r="L121" s="119" t="str">
        <f aca="false">rechne.GesZins</f>
        <v> </v>
      </c>
      <c r="M121" s="119" t="str">
        <f aca="false">rechne.GesTilg</f>
        <v> </v>
      </c>
      <c r="N121" s="119" t="str">
        <f aca="false">rechne.GesAufwand</f>
        <v> </v>
      </c>
      <c r="O121" s="120"/>
      <c r="P121" s="117" t="str">
        <f aca="false">rechne.AnzMonate</f>
        <v> </v>
      </c>
      <c r="Q121" s="124"/>
      <c r="R121" s="126"/>
      <c r="S121" s="126"/>
      <c r="T121" s="126"/>
      <c r="U121" s="126"/>
      <c r="V121" s="126"/>
      <c r="W121" s="126"/>
      <c r="X121" s="126"/>
      <c r="Y121" s="126"/>
      <c r="Z121" s="126"/>
      <c r="AA121" s="126"/>
      <c r="AB121" s="126"/>
      <c r="AC121" s="126"/>
    </row>
    <row r="122" customFormat="false" ht="12" hidden="false" customHeight="false" outlineLevel="0" collapsed="false">
      <c r="A122" s="116"/>
      <c r="B122" s="116" t="n">
        <f aca="false">zeige.Jahr</f>
        <v>8</v>
      </c>
      <c r="C122" s="117" t="str">
        <f aca="false">zeige.Jahrtxt</f>
        <v> Jahre</v>
      </c>
      <c r="D122" s="116" t="n">
        <f aca="false">zeige.Monat</f>
        <v>8</v>
      </c>
      <c r="E122" s="117" t="str">
        <f aca="false">zeige.Monattxt</f>
        <v> Monate</v>
      </c>
      <c r="F122" s="123" t="n">
        <f aca="false">rechne.Zahlungstermine</f>
        <v>46965</v>
      </c>
      <c r="G122" s="119" t="str">
        <f aca="false">rechne.Restkredit</f>
        <v> </v>
      </c>
      <c r="H122" s="119" t="str">
        <f aca="false">rechne.Zinsen</f>
        <v> </v>
      </c>
      <c r="I122" s="119" t="str">
        <f aca="false">rechne.Tilgung</f>
        <v> </v>
      </c>
      <c r="J122" s="119" t="str">
        <f aca="false">rechne.Betrag</f>
        <v> </v>
      </c>
      <c r="K122" s="119"/>
      <c r="L122" s="119" t="str">
        <f aca="false">rechne.GesZins</f>
        <v> </v>
      </c>
      <c r="M122" s="119" t="str">
        <f aca="false">rechne.GesTilg</f>
        <v> </v>
      </c>
      <c r="N122" s="119" t="str">
        <f aca="false">rechne.GesAufwand</f>
        <v> </v>
      </c>
      <c r="O122" s="120"/>
      <c r="P122" s="117" t="str">
        <f aca="false">rechne.AnzMonate</f>
        <v> </v>
      </c>
      <c r="Q122" s="124"/>
      <c r="R122" s="126"/>
      <c r="S122" s="126"/>
      <c r="T122" s="126"/>
      <c r="U122" s="126"/>
      <c r="V122" s="126"/>
      <c r="W122" s="126"/>
      <c r="X122" s="126"/>
      <c r="Y122" s="126"/>
      <c r="Z122" s="126"/>
      <c r="AA122" s="126"/>
      <c r="AB122" s="126"/>
      <c r="AC122" s="126"/>
    </row>
    <row r="123" customFormat="false" ht="12" hidden="false" customHeight="false" outlineLevel="0" collapsed="false">
      <c r="A123" s="116"/>
      <c r="B123" s="116" t="n">
        <f aca="false">zeige.Jahr</f>
        <v>8</v>
      </c>
      <c r="C123" s="117" t="str">
        <f aca="false">zeige.Jahrtxt</f>
        <v> Jahre</v>
      </c>
      <c r="D123" s="116" t="n">
        <f aca="false">zeige.Monat</f>
        <v>9</v>
      </c>
      <c r="E123" s="117" t="str">
        <f aca="false">zeige.Monattxt</f>
        <v> Monate</v>
      </c>
      <c r="F123" s="123" t="n">
        <f aca="false">rechne.Zahlungstermine</f>
        <v>46996</v>
      </c>
      <c r="G123" s="119" t="str">
        <f aca="false">rechne.Restkredit</f>
        <v> </v>
      </c>
      <c r="H123" s="119" t="str">
        <f aca="false">rechne.Zinsen</f>
        <v> </v>
      </c>
      <c r="I123" s="119" t="str">
        <f aca="false">rechne.Tilgung</f>
        <v> </v>
      </c>
      <c r="J123" s="119" t="str">
        <f aca="false">rechne.Betrag</f>
        <v> </v>
      </c>
      <c r="K123" s="119"/>
      <c r="L123" s="119" t="str">
        <f aca="false">rechne.GesZins</f>
        <v> </v>
      </c>
      <c r="M123" s="119" t="str">
        <f aca="false">rechne.GesTilg</f>
        <v> </v>
      </c>
      <c r="N123" s="119" t="str">
        <f aca="false">rechne.GesAufwand</f>
        <v> </v>
      </c>
      <c r="O123" s="120"/>
      <c r="P123" s="117" t="str">
        <f aca="false">rechne.AnzMonate</f>
        <v> </v>
      </c>
      <c r="Q123" s="124"/>
      <c r="R123" s="126"/>
      <c r="S123" s="126"/>
      <c r="T123" s="126"/>
      <c r="U123" s="126"/>
      <c r="V123" s="126"/>
      <c r="W123" s="126"/>
      <c r="X123" s="126"/>
      <c r="Y123" s="126"/>
      <c r="Z123" s="126"/>
      <c r="AA123" s="126"/>
      <c r="AB123" s="126"/>
      <c r="AC123" s="126"/>
    </row>
    <row r="124" customFormat="false" ht="12" hidden="false" customHeight="false" outlineLevel="0" collapsed="false">
      <c r="A124" s="116"/>
      <c r="B124" s="116" t="n">
        <f aca="false">zeige.Jahr</f>
        <v>8</v>
      </c>
      <c r="C124" s="117" t="str">
        <f aca="false">zeige.Jahrtxt</f>
        <v> Jahre</v>
      </c>
      <c r="D124" s="116" t="n">
        <f aca="false">zeige.Monat</f>
        <v>10</v>
      </c>
      <c r="E124" s="117" t="str">
        <f aca="false">zeige.Monattxt</f>
        <v> Monate</v>
      </c>
      <c r="F124" s="123" t="n">
        <f aca="false">rechne.Zahlungstermine</f>
        <v>47026</v>
      </c>
      <c r="G124" s="119" t="str">
        <f aca="false">rechne.Restkredit</f>
        <v> </v>
      </c>
      <c r="H124" s="119" t="str">
        <f aca="false">rechne.Zinsen</f>
        <v> </v>
      </c>
      <c r="I124" s="119" t="str">
        <f aca="false">rechne.Tilgung</f>
        <v> </v>
      </c>
      <c r="J124" s="119" t="str">
        <f aca="false">rechne.Betrag</f>
        <v> </v>
      </c>
      <c r="K124" s="119"/>
      <c r="L124" s="119" t="str">
        <f aca="false">rechne.GesZins</f>
        <v> </v>
      </c>
      <c r="M124" s="119" t="str">
        <f aca="false">rechne.GesTilg</f>
        <v> </v>
      </c>
      <c r="N124" s="119" t="str">
        <f aca="false">rechne.GesAufwand</f>
        <v> </v>
      </c>
      <c r="O124" s="120"/>
      <c r="P124" s="117" t="str">
        <f aca="false">rechne.AnzMonate</f>
        <v> </v>
      </c>
      <c r="Q124" s="124"/>
      <c r="R124" s="126"/>
      <c r="S124" s="126"/>
      <c r="T124" s="126"/>
      <c r="U124" s="126"/>
      <c r="V124" s="126"/>
      <c r="W124" s="126"/>
      <c r="X124" s="126"/>
      <c r="Y124" s="126"/>
      <c r="Z124" s="126"/>
      <c r="AA124" s="126"/>
      <c r="AB124" s="126"/>
      <c r="AC124" s="126"/>
    </row>
    <row r="125" customFormat="false" ht="12" hidden="false" customHeight="false" outlineLevel="0" collapsed="false">
      <c r="A125" s="116"/>
      <c r="B125" s="116" t="n">
        <f aca="false">zeige.Jahr</f>
        <v>8</v>
      </c>
      <c r="C125" s="117" t="str">
        <f aca="false">zeige.Jahrtxt</f>
        <v> Jahre</v>
      </c>
      <c r="D125" s="116" t="n">
        <f aca="false">zeige.Monat</f>
        <v>11</v>
      </c>
      <c r="E125" s="117" t="str">
        <f aca="false">zeige.Monattxt</f>
        <v> Monate</v>
      </c>
      <c r="F125" s="123" t="n">
        <f aca="false">rechne.Zahlungstermine</f>
        <v>47057</v>
      </c>
      <c r="G125" s="119" t="str">
        <f aca="false">rechne.Restkredit</f>
        <v> </v>
      </c>
      <c r="H125" s="119" t="str">
        <f aca="false">rechne.Zinsen</f>
        <v> </v>
      </c>
      <c r="I125" s="119" t="str">
        <f aca="false">rechne.Tilgung</f>
        <v> </v>
      </c>
      <c r="J125" s="119" t="str">
        <f aca="false">rechne.Betrag</f>
        <v> </v>
      </c>
      <c r="K125" s="119"/>
      <c r="L125" s="119" t="str">
        <f aca="false">rechne.GesZins</f>
        <v> </v>
      </c>
      <c r="M125" s="119" t="str">
        <f aca="false">rechne.GesTilg</f>
        <v> </v>
      </c>
      <c r="N125" s="119" t="str">
        <f aca="false">rechne.GesAufwand</f>
        <v> </v>
      </c>
      <c r="O125" s="120"/>
      <c r="P125" s="117" t="str">
        <f aca="false">rechne.AnzMonate</f>
        <v> </v>
      </c>
      <c r="Q125" s="124"/>
      <c r="R125" s="126"/>
      <c r="S125" s="126"/>
      <c r="T125" s="126"/>
      <c r="U125" s="126"/>
      <c r="V125" s="126"/>
      <c r="W125" s="126"/>
      <c r="X125" s="126"/>
      <c r="Y125" s="126"/>
      <c r="Z125" s="126"/>
      <c r="AA125" s="126"/>
      <c r="AB125" s="126"/>
      <c r="AC125" s="126"/>
    </row>
    <row r="126" customFormat="false" ht="12" hidden="false" customHeight="false" outlineLevel="0" collapsed="false">
      <c r="A126" s="116"/>
      <c r="B126" s="116" t="n">
        <f aca="false">zeige.Jahr</f>
        <v>9</v>
      </c>
      <c r="C126" s="117" t="str">
        <f aca="false">zeige.Jahrtxt</f>
        <v> Jahre</v>
      </c>
      <c r="D126" s="116" t="n">
        <f aca="false">zeige.Monat</f>
        <v>0</v>
      </c>
      <c r="E126" s="117" t="str">
        <f aca="false">zeige.Monattxt</f>
        <v> </v>
      </c>
      <c r="F126" s="123" t="n">
        <f aca="false">rechne.Zahlungstermine</f>
        <v>47087</v>
      </c>
      <c r="G126" s="119" t="str">
        <f aca="false">rechne.Restkredit</f>
        <v> </v>
      </c>
      <c r="H126" s="119" t="str">
        <f aca="false">rechne.Zinsen</f>
        <v> </v>
      </c>
      <c r="I126" s="119" t="str">
        <f aca="false">rechne.Tilgung</f>
        <v> </v>
      </c>
      <c r="J126" s="119" t="str">
        <f aca="false">rechne.Betrag</f>
        <v> </v>
      </c>
      <c r="K126" s="119"/>
      <c r="L126" s="119" t="str">
        <f aca="false">rechne.GesZins</f>
        <v> </v>
      </c>
      <c r="M126" s="119" t="str">
        <f aca="false">rechne.GesTilg</f>
        <v> </v>
      </c>
      <c r="N126" s="119" t="str">
        <f aca="false">rechne.GesAufwand</f>
        <v> </v>
      </c>
      <c r="O126" s="120"/>
      <c r="P126" s="117" t="str">
        <f aca="false">rechne.AnzMonate</f>
        <v> </v>
      </c>
      <c r="Q126" s="124"/>
      <c r="R126" s="126"/>
      <c r="S126" s="126"/>
      <c r="T126" s="126"/>
      <c r="U126" s="126"/>
      <c r="V126" s="126"/>
      <c r="W126" s="126"/>
      <c r="X126" s="126"/>
      <c r="Y126" s="126"/>
      <c r="Z126" s="126"/>
      <c r="AA126" s="126"/>
      <c r="AB126" s="126"/>
      <c r="AC126" s="126"/>
    </row>
    <row r="127" customFormat="false" ht="12" hidden="false" customHeight="false" outlineLevel="0" collapsed="false">
      <c r="A127" s="116"/>
      <c r="B127" s="116" t="n">
        <f aca="false">zeige.Jahr</f>
        <v>9</v>
      </c>
      <c r="C127" s="117" t="str">
        <f aca="false">zeige.Jahrtxt</f>
        <v> Jahre</v>
      </c>
      <c r="D127" s="116" t="n">
        <f aca="false">zeige.Monat</f>
        <v>1</v>
      </c>
      <c r="E127" s="117" t="str">
        <f aca="false">zeige.Monattxt</f>
        <v> Monat</v>
      </c>
      <c r="F127" s="123" t="n">
        <f aca="false">rechne.Zahlungstermine</f>
        <v>47118</v>
      </c>
      <c r="G127" s="119" t="str">
        <f aca="false">rechne.Restkredit</f>
        <v> </v>
      </c>
      <c r="H127" s="119" t="str">
        <f aca="false">rechne.Zinsen</f>
        <v> </v>
      </c>
      <c r="I127" s="119" t="str">
        <f aca="false">rechne.Tilgung</f>
        <v> </v>
      </c>
      <c r="J127" s="119" t="str">
        <f aca="false">rechne.Betrag</f>
        <v> </v>
      </c>
      <c r="K127" s="119"/>
      <c r="L127" s="119" t="str">
        <f aca="false">rechne.GesZins</f>
        <v> </v>
      </c>
      <c r="M127" s="119" t="str">
        <f aca="false">rechne.GesTilg</f>
        <v> </v>
      </c>
      <c r="N127" s="119" t="str">
        <f aca="false">rechne.GesAufwand</f>
        <v> </v>
      </c>
      <c r="O127" s="120"/>
      <c r="P127" s="117" t="str">
        <f aca="false">rechne.AnzMonate</f>
        <v> </v>
      </c>
      <c r="Q127" s="124"/>
      <c r="R127" s="126"/>
      <c r="S127" s="126"/>
      <c r="T127" s="126"/>
      <c r="U127" s="126"/>
      <c r="V127" s="126"/>
      <c r="W127" s="126"/>
      <c r="X127" s="126"/>
      <c r="Y127" s="126"/>
      <c r="Z127" s="126"/>
      <c r="AA127" s="126"/>
      <c r="AB127" s="126"/>
      <c r="AC127" s="126"/>
    </row>
    <row r="128" customFormat="false" ht="12" hidden="false" customHeight="false" outlineLevel="0" collapsed="false">
      <c r="A128" s="116"/>
      <c r="B128" s="116" t="n">
        <f aca="false">zeige.Jahr</f>
        <v>9</v>
      </c>
      <c r="C128" s="117" t="str">
        <f aca="false">zeige.Jahrtxt</f>
        <v> Jahre</v>
      </c>
      <c r="D128" s="116" t="n">
        <f aca="false">zeige.Monat</f>
        <v>2</v>
      </c>
      <c r="E128" s="117" t="str">
        <f aca="false">zeige.Monattxt</f>
        <v> Monate</v>
      </c>
      <c r="F128" s="123" t="n">
        <f aca="false">rechne.Zahlungstermine</f>
        <v>47149</v>
      </c>
      <c r="G128" s="119" t="str">
        <f aca="false">rechne.Restkredit</f>
        <v> </v>
      </c>
      <c r="H128" s="119" t="str">
        <f aca="false">rechne.Zinsen</f>
        <v> </v>
      </c>
      <c r="I128" s="119" t="str">
        <f aca="false">rechne.Tilgung</f>
        <v> </v>
      </c>
      <c r="J128" s="119" t="str">
        <f aca="false">rechne.Betrag</f>
        <v> </v>
      </c>
      <c r="K128" s="119"/>
      <c r="L128" s="119" t="str">
        <f aca="false">rechne.GesZins</f>
        <v> </v>
      </c>
      <c r="M128" s="119" t="str">
        <f aca="false">rechne.GesTilg</f>
        <v> </v>
      </c>
      <c r="N128" s="119" t="str">
        <f aca="false">rechne.GesAufwand</f>
        <v> </v>
      </c>
      <c r="O128" s="120"/>
      <c r="P128" s="117" t="str">
        <f aca="false">rechne.AnzMonate</f>
        <v> </v>
      </c>
      <c r="Q128" s="124"/>
      <c r="R128" s="126"/>
      <c r="S128" s="126"/>
      <c r="T128" s="126"/>
      <c r="U128" s="126"/>
      <c r="V128" s="126"/>
      <c r="W128" s="126"/>
      <c r="X128" s="126"/>
      <c r="Y128" s="126"/>
      <c r="Z128" s="126"/>
      <c r="AA128" s="126"/>
      <c r="AB128" s="126"/>
      <c r="AC128" s="126"/>
    </row>
    <row r="129" customFormat="false" ht="12" hidden="false" customHeight="false" outlineLevel="0" collapsed="false">
      <c r="A129" s="116"/>
      <c r="B129" s="116" t="n">
        <f aca="false">zeige.Jahr</f>
        <v>9</v>
      </c>
      <c r="C129" s="117" t="str">
        <f aca="false">zeige.Jahrtxt</f>
        <v> Jahre</v>
      </c>
      <c r="D129" s="116" t="n">
        <f aca="false">zeige.Monat</f>
        <v>3</v>
      </c>
      <c r="E129" s="117" t="str">
        <f aca="false">zeige.Monattxt</f>
        <v> Monate</v>
      </c>
      <c r="F129" s="123" t="n">
        <f aca="false">rechne.Zahlungstermine</f>
        <v>47177</v>
      </c>
      <c r="G129" s="119" t="str">
        <f aca="false">rechne.Restkredit</f>
        <v> </v>
      </c>
      <c r="H129" s="119" t="str">
        <f aca="false">rechne.Zinsen</f>
        <v> </v>
      </c>
      <c r="I129" s="119" t="str">
        <f aca="false">rechne.Tilgung</f>
        <v> </v>
      </c>
      <c r="J129" s="119" t="str">
        <f aca="false">rechne.Betrag</f>
        <v> </v>
      </c>
      <c r="K129" s="119"/>
      <c r="L129" s="119" t="str">
        <f aca="false">rechne.GesZins</f>
        <v> </v>
      </c>
      <c r="M129" s="119" t="str">
        <f aca="false">rechne.GesTilg</f>
        <v> </v>
      </c>
      <c r="N129" s="119" t="str">
        <f aca="false">rechne.GesAufwand</f>
        <v> </v>
      </c>
      <c r="O129" s="120"/>
      <c r="P129" s="117" t="str">
        <f aca="false">rechne.AnzMonate</f>
        <v> </v>
      </c>
      <c r="Q129" s="124"/>
      <c r="R129" s="126"/>
      <c r="S129" s="126"/>
      <c r="T129" s="126"/>
      <c r="U129" s="126"/>
      <c r="V129" s="126"/>
      <c r="W129" s="126"/>
      <c r="X129" s="126"/>
      <c r="Y129" s="126"/>
      <c r="Z129" s="126"/>
      <c r="AA129" s="126"/>
      <c r="AB129" s="126"/>
      <c r="AC129" s="126"/>
    </row>
    <row r="130" customFormat="false" ht="12" hidden="false" customHeight="false" outlineLevel="0" collapsed="false">
      <c r="A130" s="116"/>
      <c r="B130" s="116" t="n">
        <f aca="false">zeige.Jahr</f>
        <v>9</v>
      </c>
      <c r="C130" s="117" t="str">
        <f aca="false">zeige.Jahrtxt</f>
        <v> Jahre</v>
      </c>
      <c r="D130" s="116" t="n">
        <f aca="false">zeige.Monat</f>
        <v>4</v>
      </c>
      <c r="E130" s="117" t="str">
        <f aca="false">zeige.Monattxt</f>
        <v> Monate</v>
      </c>
      <c r="F130" s="123" t="n">
        <f aca="false">rechne.Zahlungstermine</f>
        <v>47208</v>
      </c>
      <c r="G130" s="119" t="str">
        <f aca="false">rechne.Restkredit</f>
        <v> </v>
      </c>
      <c r="H130" s="119" t="str">
        <f aca="false">rechne.Zinsen</f>
        <v> </v>
      </c>
      <c r="I130" s="119" t="str">
        <f aca="false">rechne.Tilgung</f>
        <v> </v>
      </c>
      <c r="J130" s="119" t="str">
        <f aca="false">rechne.Betrag</f>
        <v> </v>
      </c>
      <c r="K130" s="119"/>
      <c r="L130" s="119" t="str">
        <f aca="false">rechne.GesZins</f>
        <v> </v>
      </c>
      <c r="M130" s="119" t="str">
        <f aca="false">rechne.GesTilg</f>
        <v> </v>
      </c>
      <c r="N130" s="119" t="str">
        <f aca="false">rechne.GesAufwand</f>
        <v> </v>
      </c>
      <c r="O130" s="120"/>
      <c r="P130" s="117" t="str">
        <f aca="false">rechne.AnzMonate</f>
        <v> </v>
      </c>
      <c r="Q130" s="124"/>
      <c r="R130" s="126"/>
      <c r="S130" s="126"/>
      <c r="T130" s="126"/>
      <c r="U130" s="126"/>
      <c r="V130" s="126"/>
      <c r="W130" s="126"/>
      <c r="X130" s="126"/>
      <c r="Y130" s="126"/>
      <c r="Z130" s="126"/>
      <c r="AA130" s="126"/>
      <c r="AB130" s="126"/>
      <c r="AC130" s="126"/>
    </row>
    <row r="131" customFormat="false" ht="12" hidden="false" customHeight="false" outlineLevel="0" collapsed="false">
      <c r="A131" s="116"/>
      <c r="B131" s="116" t="n">
        <f aca="false">zeige.Jahr</f>
        <v>9</v>
      </c>
      <c r="C131" s="117" t="str">
        <f aca="false">zeige.Jahrtxt</f>
        <v> Jahre</v>
      </c>
      <c r="D131" s="116" t="n">
        <f aca="false">zeige.Monat</f>
        <v>5</v>
      </c>
      <c r="E131" s="117" t="str">
        <f aca="false">zeige.Monattxt</f>
        <v> Monate</v>
      </c>
      <c r="F131" s="123" t="n">
        <f aca="false">rechne.Zahlungstermine</f>
        <v>47238</v>
      </c>
      <c r="G131" s="119" t="str">
        <f aca="false">rechne.Restkredit</f>
        <v> </v>
      </c>
      <c r="H131" s="119" t="str">
        <f aca="false">rechne.Zinsen</f>
        <v> </v>
      </c>
      <c r="I131" s="119" t="str">
        <f aca="false">rechne.Tilgung</f>
        <v> </v>
      </c>
      <c r="J131" s="119" t="str">
        <f aca="false">rechne.Betrag</f>
        <v> </v>
      </c>
      <c r="K131" s="119"/>
      <c r="L131" s="119" t="str">
        <f aca="false">rechne.GesZins</f>
        <v> </v>
      </c>
      <c r="M131" s="119" t="str">
        <f aca="false">rechne.GesTilg</f>
        <v> </v>
      </c>
      <c r="N131" s="119" t="str">
        <f aca="false">rechne.GesAufwand</f>
        <v> </v>
      </c>
      <c r="O131" s="120"/>
      <c r="P131" s="117" t="str">
        <f aca="false">rechne.AnzMonate</f>
        <v> </v>
      </c>
      <c r="Q131" s="124"/>
      <c r="R131" s="126"/>
      <c r="S131" s="126"/>
      <c r="T131" s="126"/>
      <c r="U131" s="126"/>
      <c r="V131" s="126"/>
      <c r="W131" s="126"/>
      <c r="X131" s="126"/>
      <c r="Y131" s="126"/>
      <c r="Z131" s="126"/>
      <c r="AA131" s="126"/>
      <c r="AB131" s="126"/>
      <c r="AC131" s="126"/>
    </row>
    <row r="132" customFormat="false" ht="12" hidden="false" customHeight="false" outlineLevel="0" collapsed="false">
      <c r="A132" s="116"/>
      <c r="B132" s="116" t="n">
        <f aca="false">zeige.Jahr</f>
        <v>9</v>
      </c>
      <c r="C132" s="117" t="str">
        <f aca="false">zeige.Jahrtxt</f>
        <v> Jahre</v>
      </c>
      <c r="D132" s="116" t="n">
        <f aca="false">zeige.Monat</f>
        <v>6</v>
      </c>
      <c r="E132" s="117" t="str">
        <f aca="false">zeige.Monattxt</f>
        <v> Monate</v>
      </c>
      <c r="F132" s="123" t="n">
        <f aca="false">rechne.Zahlungstermine</f>
        <v>47269</v>
      </c>
      <c r="G132" s="119" t="str">
        <f aca="false">rechne.Restkredit</f>
        <v> </v>
      </c>
      <c r="H132" s="119" t="str">
        <f aca="false">rechne.Zinsen</f>
        <v> </v>
      </c>
      <c r="I132" s="119" t="str">
        <f aca="false">rechne.Tilgung</f>
        <v> </v>
      </c>
      <c r="J132" s="119" t="str">
        <f aca="false">rechne.Betrag</f>
        <v> </v>
      </c>
      <c r="K132" s="119"/>
      <c r="L132" s="119" t="str">
        <f aca="false">rechne.GesZins</f>
        <v> </v>
      </c>
      <c r="M132" s="119" t="str">
        <f aca="false">rechne.GesTilg</f>
        <v> </v>
      </c>
      <c r="N132" s="119" t="str">
        <f aca="false">rechne.GesAufwand</f>
        <v> </v>
      </c>
      <c r="O132" s="120"/>
      <c r="P132" s="117" t="str">
        <f aca="false">rechne.AnzMonate</f>
        <v> </v>
      </c>
      <c r="Q132" s="124"/>
      <c r="R132" s="126"/>
      <c r="S132" s="126"/>
      <c r="T132" s="126"/>
      <c r="U132" s="126"/>
      <c r="V132" s="126"/>
      <c r="W132" s="126"/>
      <c r="X132" s="126"/>
      <c r="Y132" s="126"/>
      <c r="Z132" s="126"/>
      <c r="AA132" s="126"/>
      <c r="AB132" s="126"/>
      <c r="AC132" s="126"/>
    </row>
    <row r="133" customFormat="false" ht="12" hidden="false" customHeight="false" outlineLevel="0" collapsed="false">
      <c r="A133" s="116"/>
      <c r="B133" s="116" t="n">
        <f aca="false">zeige.Jahr</f>
        <v>9</v>
      </c>
      <c r="C133" s="117" t="str">
        <f aca="false">zeige.Jahrtxt</f>
        <v> Jahre</v>
      </c>
      <c r="D133" s="116" t="n">
        <f aca="false">zeige.Monat</f>
        <v>7</v>
      </c>
      <c r="E133" s="117" t="str">
        <f aca="false">zeige.Monattxt</f>
        <v> Monate</v>
      </c>
      <c r="F133" s="123" t="n">
        <f aca="false">rechne.Zahlungstermine</f>
        <v>47299</v>
      </c>
      <c r="G133" s="119" t="str">
        <f aca="false">rechne.Restkredit</f>
        <v> </v>
      </c>
      <c r="H133" s="119" t="str">
        <f aca="false">rechne.Zinsen</f>
        <v> </v>
      </c>
      <c r="I133" s="119" t="str">
        <f aca="false">rechne.Tilgung</f>
        <v> </v>
      </c>
      <c r="J133" s="119" t="str">
        <f aca="false">rechne.Betrag</f>
        <v> </v>
      </c>
      <c r="K133" s="119"/>
      <c r="L133" s="119" t="str">
        <f aca="false">rechne.GesZins</f>
        <v> </v>
      </c>
      <c r="M133" s="119" t="str">
        <f aca="false">rechne.GesTilg</f>
        <v> </v>
      </c>
      <c r="N133" s="119" t="str">
        <f aca="false">rechne.GesAufwand</f>
        <v> </v>
      </c>
      <c r="O133" s="120"/>
      <c r="P133" s="117" t="str">
        <f aca="false">rechne.AnzMonate</f>
        <v> </v>
      </c>
      <c r="Q133" s="124"/>
      <c r="R133" s="126"/>
      <c r="S133" s="126"/>
      <c r="T133" s="126"/>
      <c r="U133" s="126"/>
      <c r="V133" s="126"/>
      <c r="W133" s="126"/>
      <c r="X133" s="126"/>
      <c r="Y133" s="126"/>
      <c r="Z133" s="126"/>
      <c r="AA133" s="126"/>
      <c r="AB133" s="126"/>
      <c r="AC133" s="126"/>
    </row>
    <row r="134" customFormat="false" ht="12" hidden="false" customHeight="false" outlineLevel="0" collapsed="false">
      <c r="A134" s="116"/>
      <c r="B134" s="116" t="n">
        <f aca="false">zeige.Jahr</f>
        <v>9</v>
      </c>
      <c r="C134" s="117" t="str">
        <f aca="false">zeige.Jahrtxt</f>
        <v> Jahre</v>
      </c>
      <c r="D134" s="116" t="n">
        <f aca="false">zeige.Monat</f>
        <v>8</v>
      </c>
      <c r="E134" s="117" t="str">
        <f aca="false">zeige.Monattxt</f>
        <v> Monate</v>
      </c>
      <c r="F134" s="123" t="n">
        <f aca="false">rechne.Zahlungstermine</f>
        <v>47330</v>
      </c>
      <c r="G134" s="119" t="str">
        <f aca="false">rechne.Restkredit</f>
        <v> </v>
      </c>
      <c r="H134" s="119" t="str">
        <f aca="false">rechne.Zinsen</f>
        <v> </v>
      </c>
      <c r="I134" s="119" t="str">
        <f aca="false">rechne.Tilgung</f>
        <v> </v>
      </c>
      <c r="J134" s="119" t="str">
        <f aca="false">rechne.Betrag</f>
        <v> </v>
      </c>
      <c r="K134" s="119"/>
      <c r="L134" s="119" t="str">
        <f aca="false">rechne.GesZins</f>
        <v> </v>
      </c>
      <c r="M134" s="119" t="str">
        <f aca="false">rechne.GesTilg</f>
        <v> </v>
      </c>
      <c r="N134" s="119" t="str">
        <f aca="false">rechne.GesAufwand</f>
        <v> </v>
      </c>
      <c r="O134" s="120"/>
      <c r="P134" s="117" t="str">
        <f aca="false">rechne.AnzMonate</f>
        <v> </v>
      </c>
      <c r="Q134" s="124"/>
      <c r="R134" s="126"/>
      <c r="S134" s="126"/>
      <c r="T134" s="126"/>
      <c r="U134" s="126"/>
      <c r="V134" s="126"/>
      <c r="W134" s="126"/>
      <c r="X134" s="126"/>
      <c r="Y134" s="126"/>
      <c r="Z134" s="126"/>
      <c r="AA134" s="126"/>
      <c r="AB134" s="126"/>
      <c r="AC134" s="126"/>
    </row>
    <row r="135" customFormat="false" ht="12" hidden="false" customHeight="false" outlineLevel="0" collapsed="false">
      <c r="A135" s="116"/>
      <c r="B135" s="116" t="n">
        <f aca="false">zeige.Jahr</f>
        <v>9</v>
      </c>
      <c r="C135" s="117" t="str">
        <f aca="false">zeige.Jahrtxt</f>
        <v> Jahre</v>
      </c>
      <c r="D135" s="116" t="n">
        <f aca="false">zeige.Monat</f>
        <v>9</v>
      </c>
      <c r="E135" s="117" t="str">
        <f aca="false">zeige.Monattxt</f>
        <v> Monate</v>
      </c>
      <c r="F135" s="123" t="n">
        <f aca="false">rechne.Zahlungstermine</f>
        <v>47361</v>
      </c>
      <c r="G135" s="119" t="str">
        <f aca="false">rechne.Restkredit</f>
        <v> </v>
      </c>
      <c r="H135" s="119" t="str">
        <f aca="false">rechne.Zinsen</f>
        <v> </v>
      </c>
      <c r="I135" s="119" t="str">
        <f aca="false">rechne.Tilgung</f>
        <v> </v>
      </c>
      <c r="J135" s="119" t="str">
        <f aca="false">rechne.Betrag</f>
        <v> </v>
      </c>
      <c r="K135" s="119"/>
      <c r="L135" s="119" t="str">
        <f aca="false">rechne.GesZins</f>
        <v> </v>
      </c>
      <c r="M135" s="119" t="str">
        <f aca="false">rechne.GesTilg</f>
        <v> </v>
      </c>
      <c r="N135" s="119" t="str">
        <f aca="false">rechne.GesAufwand</f>
        <v> </v>
      </c>
      <c r="O135" s="120"/>
      <c r="P135" s="117" t="str">
        <f aca="false">rechne.AnzMonate</f>
        <v> </v>
      </c>
      <c r="Q135" s="124"/>
      <c r="R135" s="126"/>
      <c r="S135" s="126"/>
      <c r="T135" s="126"/>
      <c r="U135" s="126"/>
      <c r="V135" s="126"/>
      <c r="W135" s="126"/>
      <c r="X135" s="126"/>
      <c r="Y135" s="126"/>
      <c r="Z135" s="126"/>
      <c r="AA135" s="126"/>
      <c r="AB135" s="126"/>
      <c r="AC135" s="126"/>
    </row>
    <row r="136" customFormat="false" ht="12" hidden="false" customHeight="false" outlineLevel="0" collapsed="false">
      <c r="A136" s="116"/>
      <c r="B136" s="116" t="n">
        <f aca="false">zeige.Jahr</f>
        <v>9</v>
      </c>
      <c r="C136" s="117" t="str">
        <f aca="false">zeige.Jahrtxt</f>
        <v> Jahre</v>
      </c>
      <c r="D136" s="116" t="n">
        <f aca="false">zeige.Monat</f>
        <v>10</v>
      </c>
      <c r="E136" s="117" t="str">
        <f aca="false">zeige.Monattxt</f>
        <v> Monate</v>
      </c>
      <c r="F136" s="123" t="n">
        <f aca="false">rechne.Zahlungstermine</f>
        <v>47391</v>
      </c>
      <c r="G136" s="119" t="str">
        <f aca="false">rechne.Restkredit</f>
        <v> </v>
      </c>
      <c r="H136" s="119" t="str">
        <f aca="false">rechne.Zinsen</f>
        <v> </v>
      </c>
      <c r="I136" s="119" t="str">
        <f aca="false">rechne.Tilgung</f>
        <v> </v>
      </c>
      <c r="J136" s="119" t="str">
        <f aca="false">rechne.Betrag</f>
        <v> </v>
      </c>
      <c r="K136" s="119"/>
      <c r="L136" s="119" t="str">
        <f aca="false">rechne.GesZins</f>
        <v> </v>
      </c>
      <c r="M136" s="119" t="str">
        <f aca="false">rechne.GesTilg</f>
        <v> </v>
      </c>
      <c r="N136" s="119" t="str">
        <f aca="false">rechne.GesAufwand</f>
        <v> </v>
      </c>
      <c r="O136" s="120"/>
      <c r="P136" s="117" t="str">
        <f aca="false">rechne.AnzMonate</f>
        <v> </v>
      </c>
      <c r="Q136" s="124"/>
      <c r="R136" s="126"/>
      <c r="S136" s="126"/>
      <c r="T136" s="126"/>
      <c r="U136" s="126"/>
      <c r="V136" s="126"/>
      <c r="W136" s="126"/>
      <c r="X136" s="126"/>
      <c r="Y136" s="126"/>
      <c r="Z136" s="126"/>
      <c r="AA136" s="126"/>
      <c r="AB136" s="126"/>
      <c r="AC136" s="126"/>
    </row>
    <row r="137" customFormat="false" ht="12" hidden="false" customHeight="false" outlineLevel="0" collapsed="false">
      <c r="A137" s="116"/>
      <c r="B137" s="116" t="n">
        <f aca="false">zeige.Jahr</f>
        <v>9</v>
      </c>
      <c r="C137" s="117" t="str">
        <f aca="false">zeige.Jahrtxt</f>
        <v> Jahre</v>
      </c>
      <c r="D137" s="116" t="n">
        <f aca="false">zeige.Monat</f>
        <v>11</v>
      </c>
      <c r="E137" s="117" t="str">
        <f aca="false">zeige.Monattxt</f>
        <v> Monate</v>
      </c>
      <c r="F137" s="123" t="n">
        <f aca="false">rechne.Zahlungstermine</f>
        <v>47422</v>
      </c>
      <c r="G137" s="119" t="str">
        <f aca="false">rechne.Restkredit</f>
        <v> </v>
      </c>
      <c r="H137" s="119" t="str">
        <f aca="false">rechne.Zinsen</f>
        <v> </v>
      </c>
      <c r="I137" s="119" t="str">
        <f aca="false">rechne.Tilgung</f>
        <v> </v>
      </c>
      <c r="J137" s="119" t="str">
        <f aca="false">rechne.Betrag</f>
        <v> </v>
      </c>
      <c r="K137" s="119"/>
      <c r="L137" s="119" t="str">
        <f aca="false">rechne.GesZins</f>
        <v> </v>
      </c>
      <c r="M137" s="119" t="str">
        <f aca="false">rechne.GesTilg</f>
        <v> </v>
      </c>
      <c r="N137" s="119" t="str">
        <f aca="false">rechne.GesAufwand</f>
        <v> </v>
      </c>
      <c r="O137" s="120"/>
      <c r="P137" s="117" t="str">
        <f aca="false">rechne.AnzMonate</f>
        <v> </v>
      </c>
      <c r="Q137" s="124"/>
      <c r="R137" s="126"/>
      <c r="S137" s="126"/>
      <c r="T137" s="126"/>
      <c r="U137" s="126"/>
      <c r="V137" s="126"/>
      <c r="W137" s="126"/>
      <c r="X137" s="126"/>
      <c r="Y137" s="126"/>
      <c r="Z137" s="126"/>
      <c r="AA137" s="126"/>
      <c r="AB137" s="126"/>
      <c r="AC137" s="126"/>
    </row>
    <row r="138" customFormat="false" ht="12" hidden="false" customHeight="false" outlineLevel="0" collapsed="false">
      <c r="A138" s="116"/>
      <c r="B138" s="116" t="n">
        <f aca="false">zeige.Jahr</f>
        <v>10</v>
      </c>
      <c r="C138" s="117" t="str">
        <f aca="false">zeige.Jahrtxt</f>
        <v> Jahre</v>
      </c>
      <c r="D138" s="116" t="n">
        <f aca="false">zeige.Monat</f>
        <v>0</v>
      </c>
      <c r="E138" s="117" t="str">
        <f aca="false">zeige.Monattxt</f>
        <v> </v>
      </c>
      <c r="F138" s="123" t="n">
        <f aca="false">rechne.Zahlungstermine</f>
        <v>47452</v>
      </c>
      <c r="G138" s="119" t="str">
        <f aca="false">rechne.Restkredit</f>
        <v> </v>
      </c>
      <c r="H138" s="119" t="str">
        <f aca="false">rechne.Zinsen</f>
        <v> </v>
      </c>
      <c r="I138" s="119" t="str">
        <f aca="false">rechne.Tilgung</f>
        <v> </v>
      </c>
      <c r="J138" s="119" t="str">
        <f aca="false">rechne.Betrag</f>
        <v> </v>
      </c>
      <c r="K138" s="119"/>
      <c r="L138" s="119" t="str">
        <f aca="false">rechne.GesZins</f>
        <v> </v>
      </c>
      <c r="M138" s="119" t="str">
        <f aca="false">rechne.GesTilg</f>
        <v> </v>
      </c>
      <c r="N138" s="119" t="str">
        <f aca="false">rechne.GesAufwand</f>
        <v> </v>
      </c>
      <c r="O138" s="120"/>
      <c r="P138" s="117" t="str">
        <f aca="false">rechne.AnzMonate</f>
        <v> </v>
      </c>
      <c r="Q138" s="124"/>
      <c r="R138" s="126"/>
      <c r="S138" s="126"/>
      <c r="T138" s="126"/>
      <c r="U138" s="126"/>
      <c r="V138" s="126"/>
      <c r="W138" s="126"/>
      <c r="X138" s="126"/>
      <c r="Y138" s="126"/>
      <c r="Z138" s="126"/>
      <c r="AA138" s="126"/>
      <c r="AB138" s="126"/>
      <c r="AC138" s="126"/>
    </row>
    <row r="139" customFormat="false" ht="12" hidden="false" customHeight="false" outlineLevel="0" collapsed="false">
      <c r="A139" s="116"/>
      <c r="B139" s="116" t="n">
        <f aca="false">zeige.Jahr</f>
        <v>10</v>
      </c>
      <c r="C139" s="117" t="str">
        <f aca="false">zeige.Jahrtxt</f>
        <v> Jahre</v>
      </c>
      <c r="D139" s="116" t="n">
        <f aca="false">zeige.Monat</f>
        <v>1</v>
      </c>
      <c r="E139" s="117" t="str">
        <f aca="false">zeige.Monattxt</f>
        <v> Monat</v>
      </c>
      <c r="F139" s="123" t="n">
        <f aca="false">rechne.Zahlungstermine</f>
        <v>47483</v>
      </c>
      <c r="G139" s="119" t="str">
        <f aca="false">rechne.Restkredit</f>
        <v> </v>
      </c>
      <c r="H139" s="119" t="str">
        <f aca="false">rechne.Zinsen</f>
        <v> </v>
      </c>
      <c r="I139" s="119" t="str">
        <f aca="false">rechne.Tilgung</f>
        <v> </v>
      </c>
      <c r="J139" s="119" t="str">
        <f aca="false">rechne.Betrag</f>
        <v> </v>
      </c>
      <c r="K139" s="119"/>
      <c r="L139" s="119" t="str">
        <f aca="false">rechne.GesZins</f>
        <v> </v>
      </c>
      <c r="M139" s="119" t="str">
        <f aca="false">rechne.GesTilg</f>
        <v> </v>
      </c>
      <c r="N139" s="119" t="str">
        <f aca="false">rechne.GesAufwand</f>
        <v> </v>
      </c>
      <c r="O139" s="120"/>
      <c r="P139" s="117" t="str">
        <f aca="false">rechne.AnzMonate</f>
        <v> </v>
      </c>
      <c r="Q139" s="124"/>
      <c r="R139" s="126"/>
      <c r="S139" s="126"/>
      <c r="T139" s="126"/>
      <c r="U139" s="126"/>
      <c r="V139" s="126"/>
      <c r="W139" s="126"/>
      <c r="X139" s="126"/>
      <c r="Y139" s="126"/>
      <c r="Z139" s="126"/>
      <c r="AA139" s="126"/>
      <c r="AB139" s="126"/>
      <c r="AC139" s="126"/>
    </row>
    <row r="140" customFormat="false" ht="12" hidden="false" customHeight="false" outlineLevel="0" collapsed="false">
      <c r="A140" s="116"/>
      <c r="B140" s="116" t="n">
        <f aca="false">zeige.Jahr</f>
        <v>10</v>
      </c>
      <c r="C140" s="117" t="str">
        <f aca="false">zeige.Jahrtxt</f>
        <v> Jahre</v>
      </c>
      <c r="D140" s="116" t="n">
        <f aca="false">zeige.Monat</f>
        <v>2</v>
      </c>
      <c r="E140" s="117" t="str">
        <f aca="false">zeige.Monattxt</f>
        <v> Monate</v>
      </c>
      <c r="F140" s="123" t="n">
        <f aca="false">rechne.Zahlungstermine</f>
        <v>47514</v>
      </c>
      <c r="G140" s="119" t="str">
        <f aca="false">rechne.Restkredit</f>
        <v> </v>
      </c>
      <c r="H140" s="119" t="str">
        <f aca="false">rechne.Zinsen</f>
        <v> </v>
      </c>
      <c r="I140" s="119" t="str">
        <f aca="false">rechne.Tilgung</f>
        <v> </v>
      </c>
      <c r="J140" s="119" t="str">
        <f aca="false">rechne.Betrag</f>
        <v> </v>
      </c>
      <c r="K140" s="119"/>
      <c r="L140" s="119" t="str">
        <f aca="false">rechne.GesZins</f>
        <v> </v>
      </c>
      <c r="M140" s="119" t="str">
        <f aca="false">rechne.GesTilg</f>
        <v> </v>
      </c>
      <c r="N140" s="119" t="str">
        <f aca="false">rechne.GesAufwand</f>
        <v> </v>
      </c>
      <c r="O140" s="120"/>
      <c r="P140" s="117" t="str">
        <f aca="false">rechne.AnzMonate</f>
        <v> </v>
      </c>
      <c r="Q140" s="124"/>
      <c r="R140" s="126"/>
      <c r="S140" s="126"/>
      <c r="T140" s="126"/>
      <c r="U140" s="126"/>
      <c r="V140" s="126"/>
      <c r="W140" s="126"/>
      <c r="X140" s="126"/>
      <c r="Y140" s="126"/>
      <c r="Z140" s="126"/>
      <c r="AA140" s="126"/>
      <c r="AB140" s="126"/>
      <c r="AC140" s="126"/>
    </row>
    <row r="141" customFormat="false" ht="12" hidden="false" customHeight="false" outlineLevel="0" collapsed="false">
      <c r="A141" s="116"/>
      <c r="B141" s="116" t="n">
        <f aca="false">zeige.Jahr</f>
        <v>10</v>
      </c>
      <c r="C141" s="117" t="str">
        <f aca="false">zeige.Jahrtxt</f>
        <v> Jahre</v>
      </c>
      <c r="D141" s="116" t="n">
        <f aca="false">zeige.Monat</f>
        <v>3</v>
      </c>
      <c r="E141" s="117" t="str">
        <f aca="false">zeige.Monattxt</f>
        <v> Monate</v>
      </c>
      <c r="F141" s="123" t="n">
        <f aca="false">rechne.Zahlungstermine</f>
        <v>47542</v>
      </c>
      <c r="G141" s="119" t="str">
        <f aca="false">rechne.Restkredit</f>
        <v> </v>
      </c>
      <c r="H141" s="119" t="str">
        <f aca="false">rechne.Zinsen</f>
        <v> </v>
      </c>
      <c r="I141" s="119" t="str">
        <f aca="false">rechne.Tilgung</f>
        <v> </v>
      </c>
      <c r="J141" s="119" t="str">
        <f aca="false">rechne.Betrag</f>
        <v> </v>
      </c>
      <c r="K141" s="119"/>
      <c r="L141" s="119" t="str">
        <f aca="false">rechne.GesZins</f>
        <v> </v>
      </c>
      <c r="M141" s="119" t="str">
        <f aca="false">rechne.GesTilg</f>
        <v> </v>
      </c>
      <c r="N141" s="119" t="str">
        <f aca="false">rechne.GesAufwand</f>
        <v> </v>
      </c>
      <c r="O141" s="120"/>
      <c r="P141" s="117" t="str">
        <f aca="false">rechne.AnzMonate</f>
        <v> </v>
      </c>
      <c r="Q141" s="124"/>
      <c r="R141" s="126"/>
      <c r="S141" s="126"/>
      <c r="T141" s="126"/>
      <c r="U141" s="126"/>
      <c r="V141" s="126"/>
      <c r="W141" s="126"/>
      <c r="X141" s="126"/>
      <c r="Y141" s="126"/>
      <c r="Z141" s="126"/>
      <c r="AA141" s="126"/>
      <c r="AB141" s="126"/>
      <c r="AC141" s="126"/>
    </row>
    <row r="142" customFormat="false" ht="12" hidden="false" customHeight="false" outlineLevel="0" collapsed="false">
      <c r="A142" s="116"/>
      <c r="B142" s="116" t="n">
        <f aca="false">zeige.Jahr</f>
        <v>10</v>
      </c>
      <c r="C142" s="117" t="str">
        <f aca="false">zeige.Jahrtxt</f>
        <v> Jahre</v>
      </c>
      <c r="D142" s="116" t="n">
        <f aca="false">zeige.Monat</f>
        <v>4</v>
      </c>
      <c r="E142" s="117" t="str">
        <f aca="false">zeige.Monattxt</f>
        <v> Monate</v>
      </c>
      <c r="F142" s="123" t="n">
        <f aca="false">rechne.Zahlungstermine</f>
        <v>47573</v>
      </c>
      <c r="G142" s="119" t="str">
        <f aca="false">rechne.Restkredit</f>
        <v> </v>
      </c>
      <c r="H142" s="119" t="str">
        <f aca="false">rechne.Zinsen</f>
        <v> </v>
      </c>
      <c r="I142" s="119" t="str">
        <f aca="false">rechne.Tilgung</f>
        <v> </v>
      </c>
      <c r="J142" s="119" t="str">
        <f aca="false">rechne.Betrag</f>
        <v> </v>
      </c>
      <c r="K142" s="119"/>
      <c r="L142" s="119" t="str">
        <f aca="false">rechne.GesZins</f>
        <v> </v>
      </c>
      <c r="M142" s="119" t="str">
        <f aca="false">rechne.GesTilg</f>
        <v> </v>
      </c>
      <c r="N142" s="119" t="str">
        <f aca="false">rechne.GesAufwand</f>
        <v> </v>
      </c>
      <c r="O142" s="120"/>
      <c r="P142" s="117" t="str">
        <f aca="false">rechne.AnzMonate</f>
        <v> </v>
      </c>
      <c r="Q142" s="124"/>
      <c r="R142" s="126"/>
      <c r="S142" s="126"/>
      <c r="T142" s="126"/>
      <c r="U142" s="126"/>
      <c r="V142" s="126"/>
      <c r="W142" s="126"/>
      <c r="X142" s="126"/>
      <c r="Y142" s="126"/>
      <c r="Z142" s="126"/>
      <c r="AA142" s="126"/>
      <c r="AB142" s="126"/>
      <c r="AC142" s="126"/>
    </row>
    <row r="143" customFormat="false" ht="12" hidden="false" customHeight="false" outlineLevel="0" collapsed="false">
      <c r="A143" s="116"/>
      <c r="B143" s="116" t="n">
        <f aca="false">zeige.Jahr</f>
        <v>10</v>
      </c>
      <c r="C143" s="117" t="str">
        <f aca="false">zeige.Jahrtxt</f>
        <v> Jahre</v>
      </c>
      <c r="D143" s="116" t="n">
        <f aca="false">zeige.Monat</f>
        <v>5</v>
      </c>
      <c r="E143" s="117" t="str">
        <f aca="false">zeige.Monattxt</f>
        <v> Monate</v>
      </c>
      <c r="F143" s="123" t="n">
        <f aca="false">rechne.Zahlungstermine</f>
        <v>47603</v>
      </c>
      <c r="G143" s="119" t="str">
        <f aca="false">rechne.Restkredit</f>
        <v> </v>
      </c>
      <c r="H143" s="119" t="str">
        <f aca="false">rechne.Zinsen</f>
        <v> </v>
      </c>
      <c r="I143" s="119" t="str">
        <f aca="false">rechne.Tilgung</f>
        <v> </v>
      </c>
      <c r="J143" s="119" t="str">
        <f aca="false">rechne.Betrag</f>
        <v> </v>
      </c>
      <c r="K143" s="119"/>
      <c r="L143" s="119" t="str">
        <f aca="false">rechne.GesZins</f>
        <v> </v>
      </c>
      <c r="M143" s="119" t="str">
        <f aca="false">rechne.GesTilg</f>
        <v> </v>
      </c>
      <c r="N143" s="119" t="str">
        <f aca="false">rechne.GesAufwand</f>
        <v> </v>
      </c>
      <c r="O143" s="120"/>
      <c r="P143" s="117" t="str">
        <f aca="false">rechne.AnzMonate</f>
        <v> </v>
      </c>
      <c r="Q143" s="124"/>
      <c r="R143" s="126"/>
      <c r="S143" s="126"/>
      <c r="T143" s="126"/>
      <c r="U143" s="126"/>
      <c r="V143" s="126"/>
      <c r="W143" s="126"/>
      <c r="X143" s="126"/>
      <c r="Y143" s="126"/>
      <c r="Z143" s="126"/>
      <c r="AA143" s="126"/>
      <c r="AB143" s="126"/>
      <c r="AC143" s="126"/>
    </row>
    <row r="144" customFormat="false" ht="12" hidden="false" customHeight="false" outlineLevel="0" collapsed="false">
      <c r="A144" s="116"/>
      <c r="B144" s="116" t="n">
        <f aca="false">zeige.Jahr</f>
        <v>10</v>
      </c>
      <c r="C144" s="117" t="str">
        <f aca="false">zeige.Jahrtxt</f>
        <v> Jahre</v>
      </c>
      <c r="D144" s="116" t="n">
        <f aca="false">zeige.Monat</f>
        <v>6</v>
      </c>
      <c r="E144" s="117" t="str">
        <f aca="false">zeige.Monattxt</f>
        <v> Monate</v>
      </c>
      <c r="F144" s="123" t="n">
        <f aca="false">rechne.Zahlungstermine</f>
        <v>47634</v>
      </c>
      <c r="G144" s="119" t="str">
        <f aca="false">rechne.Restkredit</f>
        <v> </v>
      </c>
      <c r="H144" s="119" t="str">
        <f aca="false">rechne.Zinsen</f>
        <v> </v>
      </c>
      <c r="I144" s="119" t="str">
        <f aca="false">rechne.Tilgung</f>
        <v> </v>
      </c>
      <c r="J144" s="119" t="str">
        <f aca="false">rechne.Betrag</f>
        <v> </v>
      </c>
      <c r="K144" s="119"/>
      <c r="L144" s="119" t="str">
        <f aca="false">rechne.GesZins</f>
        <v> </v>
      </c>
      <c r="M144" s="119" t="str">
        <f aca="false">rechne.GesTilg</f>
        <v> </v>
      </c>
      <c r="N144" s="119" t="str">
        <f aca="false">rechne.GesAufwand</f>
        <v> </v>
      </c>
      <c r="O144" s="120"/>
      <c r="P144" s="117" t="str">
        <f aca="false">rechne.AnzMonate</f>
        <v> </v>
      </c>
      <c r="Q144" s="124"/>
      <c r="R144" s="126"/>
      <c r="S144" s="126"/>
      <c r="T144" s="126"/>
      <c r="U144" s="126"/>
      <c r="V144" s="126"/>
      <c r="W144" s="126"/>
      <c r="X144" s="126"/>
      <c r="Y144" s="126"/>
      <c r="Z144" s="126"/>
      <c r="AA144" s="126"/>
      <c r="AB144" s="126"/>
      <c r="AC144" s="126"/>
    </row>
    <row r="145" customFormat="false" ht="12" hidden="false" customHeight="false" outlineLevel="0" collapsed="false">
      <c r="A145" s="116"/>
      <c r="B145" s="116" t="n">
        <f aca="false">zeige.Jahr</f>
        <v>10</v>
      </c>
      <c r="C145" s="117" t="str">
        <f aca="false">zeige.Jahrtxt</f>
        <v> Jahre</v>
      </c>
      <c r="D145" s="116" t="n">
        <f aca="false">zeige.Monat</f>
        <v>7</v>
      </c>
      <c r="E145" s="117" t="str">
        <f aca="false">zeige.Monattxt</f>
        <v> Monate</v>
      </c>
      <c r="F145" s="123" t="n">
        <f aca="false">rechne.Zahlungstermine</f>
        <v>47664</v>
      </c>
      <c r="G145" s="119" t="str">
        <f aca="false">rechne.Restkredit</f>
        <v> </v>
      </c>
      <c r="H145" s="119" t="str">
        <f aca="false">rechne.Zinsen</f>
        <v> </v>
      </c>
      <c r="I145" s="119" t="str">
        <f aca="false">rechne.Tilgung</f>
        <v> </v>
      </c>
      <c r="J145" s="119" t="str">
        <f aca="false">rechne.Betrag</f>
        <v> </v>
      </c>
      <c r="K145" s="119"/>
      <c r="L145" s="119" t="str">
        <f aca="false">rechne.GesZins</f>
        <v> </v>
      </c>
      <c r="M145" s="119" t="str">
        <f aca="false">rechne.GesTilg</f>
        <v> </v>
      </c>
      <c r="N145" s="119" t="str">
        <f aca="false">rechne.GesAufwand</f>
        <v> </v>
      </c>
      <c r="O145" s="120"/>
      <c r="P145" s="117" t="str">
        <f aca="false">rechne.AnzMonate</f>
        <v> </v>
      </c>
      <c r="Q145" s="124"/>
      <c r="R145" s="126"/>
      <c r="S145" s="126"/>
      <c r="T145" s="126"/>
      <c r="U145" s="126"/>
      <c r="V145" s="126"/>
      <c r="W145" s="126"/>
      <c r="X145" s="126"/>
      <c r="Y145" s="126"/>
      <c r="Z145" s="126"/>
      <c r="AA145" s="126"/>
      <c r="AB145" s="126"/>
      <c r="AC145" s="126"/>
    </row>
    <row r="146" customFormat="false" ht="12" hidden="false" customHeight="false" outlineLevel="0" collapsed="false">
      <c r="A146" s="116"/>
      <c r="B146" s="116" t="n">
        <f aca="false">zeige.Jahr</f>
        <v>10</v>
      </c>
      <c r="C146" s="117" t="str">
        <f aca="false">zeige.Jahrtxt</f>
        <v> Jahre</v>
      </c>
      <c r="D146" s="116" t="n">
        <f aca="false">zeige.Monat</f>
        <v>8</v>
      </c>
      <c r="E146" s="117" t="str">
        <f aca="false">zeige.Monattxt</f>
        <v> Monate</v>
      </c>
      <c r="F146" s="123" t="n">
        <f aca="false">rechne.Zahlungstermine</f>
        <v>47695</v>
      </c>
      <c r="G146" s="119" t="str">
        <f aca="false">rechne.Restkredit</f>
        <v> </v>
      </c>
      <c r="H146" s="119" t="str">
        <f aca="false">rechne.Zinsen</f>
        <v> </v>
      </c>
      <c r="I146" s="119" t="str">
        <f aca="false">rechne.Tilgung</f>
        <v> </v>
      </c>
      <c r="J146" s="119" t="str">
        <f aca="false">rechne.Betrag</f>
        <v> </v>
      </c>
      <c r="K146" s="119"/>
      <c r="L146" s="119" t="str">
        <f aca="false">rechne.GesZins</f>
        <v> </v>
      </c>
      <c r="M146" s="119" t="str">
        <f aca="false">rechne.GesTilg</f>
        <v> </v>
      </c>
      <c r="N146" s="119" t="str">
        <f aca="false">rechne.GesAufwand</f>
        <v> </v>
      </c>
      <c r="O146" s="120"/>
      <c r="P146" s="117" t="str">
        <f aca="false">rechne.AnzMonate</f>
        <v> </v>
      </c>
      <c r="Q146" s="124"/>
      <c r="R146" s="126"/>
      <c r="S146" s="126"/>
      <c r="T146" s="126"/>
      <c r="U146" s="126"/>
      <c r="V146" s="126"/>
      <c r="W146" s="126"/>
      <c r="X146" s="126"/>
      <c r="Y146" s="126"/>
      <c r="Z146" s="126"/>
      <c r="AA146" s="126"/>
      <c r="AB146" s="126"/>
      <c r="AC146" s="126"/>
    </row>
    <row r="147" customFormat="false" ht="12" hidden="false" customHeight="false" outlineLevel="0" collapsed="false">
      <c r="A147" s="116"/>
      <c r="B147" s="116" t="n">
        <f aca="false">zeige.Jahr</f>
        <v>10</v>
      </c>
      <c r="C147" s="117" t="str">
        <f aca="false">zeige.Jahrtxt</f>
        <v> Jahre</v>
      </c>
      <c r="D147" s="116" t="n">
        <f aca="false">zeige.Monat</f>
        <v>9</v>
      </c>
      <c r="E147" s="117" t="str">
        <f aca="false">zeige.Monattxt</f>
        <v> Monate</v>
      </c>
      <c r="F147" s="123" t="n">
        <f aca="false">rechne.Zahlungstermine</f>
        <v>47726</v>
      </c>
      <c r="G147" s="119" t="str">
        <f aca="false">rechne.Restkredit</f>
        <v> </v>
      </c>
      <c r="H147" s="119" t="str">
        <f aca="false">rechne.Zinsen</f>
        <v> </v>
      </c>
      <c r="I147" s="119" t="str">
        <f aca="false">rechne.Tilgung</f>
        <v> </v>
      </c>
      <c r="J147" s="119" t="str">
        <f aca="false">rechne.Betrag</f>
        <v> </v>
      </c>
      <c r="K147" s="119"/>
      <c r="L147" s="119" t="str">
        <f aca="false">rechne.GesZins</f>
        <v> </v>
      </c>
      <c r="M147" s="119" t="str">
        <f aca="false">rechne.GesTilg</f>
        <v> </v>
      </c>
      <c r="N147" s="119" t="str">
        <f aca="false">rechne.GesAufwand</f>
        <v> </v>
      </c>
      <c r="O147" s="120"/>
      <c r="P147" s="117" t="str">
        <f aca="false">rechne.AnzMonate</f>
        <v> </v>
      </c>
      <c r="Q147" s="124"/>
      <c r="R147" s="126"/>
      <c r="S147" s="126"/>
      <c r="T147" s="126"/>
      <c r="U147" s="126"/>
      <c r="V147" s="126"/>
      <c r="W147" s="126"/>
      <c r="X147" s="126"/>
      <c r="Y147" s="126"/>
      <c r="Z147" s="126"/>
      <c r="AA147" s="126"/>
      <c r="AB147" s="126"/>
      <c r="AC147" s="126"/>
    </row>
    <row r="148" customFormat="false" ht="12" hidden="false" customHeight="false" outlineLevel="0" collapsed="false">
      <c r="A148" s="116"/>
      <c r="B148" s="116" t="n">
        <f aca="false">zeige.Jahr</f>
        <v>10</v>
      </c>
      <c r="C148" s="117" t="str">
        <f aca="false">zeige.Jahrtxt</f>
        <v> Jahre</v>
      </c>
      <c r="D148" s="116" t="n">
        <f aca="false">zeige.Monat</f>
        <v>10</v>
      </c>
      <c r="E148" s="117" t="str">
        <f aca="false">zeige.Monattxt</f>
        <v> Monate</v>
      </c>
      <c r="F148" s="123" t="n">
        <f aca="false">rechne.Zahlungstermine</f>
        <v>47756</v>
      </c>
      <c r="G148" s="119" t="str">
        <f aca="false">rechne.Restkredit</f>
        <v> </v>
      </c>
      <c r="H148" s="119" t="str">
        <f aca="false">rechne.Zinsen</f>
        <v> </v>
      </c>
      <c r="I148" s="119" t="str">
        <f aca="false">rechne.Tilgung</f>
        <v> </v>
      </c>
      <c r="J148" s="119" t="str">
        <f aca="false">rechne.Betrag</f>
        <v> </v>
      </c>
      <c r="K148" s="119"/>
      <c r="L148" s="119" t="str">
        <f aca="false">rechne.GesZins</f>
        <v> </v>
      </c>
      <c r="M148" s="119" t="str">
        <f aca="false">rechne.GesTilg</f>
        <v> </v>
      </c>
      <c r="N148" s="119" t="str">
        <f aca="false">rechne.GesAufwand</f>
        <v> </v>
      </c>
      <c r="O148" s="120"/>
      <c r="P148" s="117" t="str">
        <f aca="false">rechne.AnzMonate</f>
        <v> </v>
      </c>
      <c r="Q148" s="124"/>
      <c r="R148" s="126"/>
      <c r="S148" s="126"/>
      <c r="T148" s="126"/>
      <c r="U148" s="126"/>
      <c r="V148" s="126"/>
      <c r="W148" s="126"/>
      <c r="X148" s="126"/>
      <c r="Y148" s="126"/>
      <c r="Z148" s="126"/>
      <c r="AA148" s="126"/>
      <c r="AB148" s="126"/>
      <c r="AC148" s="126"/>
    </row>
    <row r="149" customFormat="false" ht="12" hidden="false" customHeight="false" outlineLevel="0" collapsed="false">
      <c r="A149" s="116"/>
      <c r="B149" s="116" t="n">
        <f aca="false">zeige.Jahr</f>
        <v>10</v>
      </c>
      <c r="C149" s="117" t="str">
        <f aca="false">zeige.Jahrtxt</f>
        <v> Jahre</v>
      </c>
      <c r="D149" s="116" t="n">
        <f aca="false">zeige.Monat</f>
        <v>11</v>
      </c>
      <c r="E149" s="117" t="str">
        <f aca="false">zeige.Monattxt</f>
        <v> Monate</v>
      </c>
      <c r="F149" s="123" t="n">
        <f aca="false">rechne.Zahlungstermine</f>
        <v>47787</v>
      </c>
      <c r="G149" s="119" t="str">
        <f aca="false">rechne.Restkredit</f>
        <v> </v>
      </c>
      <c r="H149" s="119" t="str">
        <f aca="false">rechne.Zinsen</f>
        <v> </v>
      </c>
      <c r="I149" s="119" t="str">
        <f aca="false">rechne.Tilgung</f>
        <v> </v>
      </c>
      <c r="J149" s="119" t="str">
        <f aca="false">rechne.Betrag</f>
        <v> </v>
      </c>
      <c r="K149" s="119"/>
      <c r="L149" s="119" t="str">
        <f aca="false">rechne.GesZins</f>
        <v> </v>
      </c>
      <c r="M149" s="119" t="str">
        <f aca="false">rechne.GesTilg</f>
        <v> </v>
      </c>
      <c r="N149" s="119" t="str">
        <f aca="false">rechne.GesAufwand</f>
        <v> </v>
      </c>
      <c r="O149" s="120"/>
      <c r="P149" s="117" t="str">
        <f aca="false">rechne.AnzMonate</f>
        <v> </v>
      </c>
      <c r="Q149" s="124"/>
      <c r="R149" s="126"/>
      <c r="S149" s="126"/>
      <c r="T149" s="126"/>
      <c r="U149" s="126"/>
      <c r="V149" s="126"/>
      <c r="W149" s="126"/>
      <c r="X149" s="126"/>
      <c r="Y149" s="126"/>
      <c r="Z149" s="126"/>
      <c r="AA149" s="126"/>
      <c r="AB149" s="126"/>
      <c r="AC149" s="126"/>
    </row>
    <row r="150" customFormat="false" ht="12" hidden="false" customHeight="false" outlineLevel="0" collapsed="false">
      <c r="A150" s="116"/>
      <c r="B150" s="116" t="n">
        <f aca="false">zeige.Jahr</f>
        <v>11</v>
      </c>
      <c r="C150" s="117" t="str">
        <f aca="false">zeige.Jahrtxt</f>
        <v> Jahre</v>
      </c>
      <c r="D150" s="116" t="n">
        <f aca="false">zeige.Monat</f>
        <v>0</v>
      </c>
      <c r="E150" s="117" t="str">
        <f aca="false">zeige.Monattxt</f>
        <v> </v>
      </c>
      <c r="F150" s="123" t="n">
        <f aca="false">rechne.Zahlungstermine</f>
        <v>47817</v>
      </c>
      <c r="G150" s="119" t="str">
        <f aca="false">rechne.Restkredit</f>
        <v> </v>
      </c>
      <c r="H150" s="119" t="str">
        <f aca="false">rechne.Zinsen</f>
        <v> </v>
      </c>
      <c r="I150" s="119" t="str">
        <f aca="false">rechne.Tilgung</f>
        <v> </v>
      </c>
      <c r="J150" s="119" t="str">
        <f aca="false">rechne.Betrag</f>
        <v> </v>
      </c>
      <c r="K150" s="119"/>
      <c r="L150" s="119" t="str">
        <f aca="false">rechne.GesZins</f>
        <v> </v>
      </c>
      <c r="M150" s="119" t="str">
        <f aca="false">rechne.GesTilg</f>
        <v> </v>
      </c>
      <c r="N150" s="119" t="str">
        <f aca="false">rechne.GesAufwand</f>
        <v> </v>
      </c>
      <c r="O150" s="120"/>
      <c r="P150" s="117" t="str">
        <f aca="false">rechne.AnzMonate</f>
        <v> </v>
      </c>
      <c r="Q150" s="124"/>
      <c r="R150" s="126"/>
      <c r="S150" s="126"/>
      <c r="T150" s="126"/>
      <c r="U150" s="126"/>
      <c r="V150" s="126"/>
      <c r="W150" s="126"/>
      <c r="X150" s="126"/>
      <c r="Y150" s="126"/>
      <c r="Z150" s="126"/>
      <c r="AA150" s="126"/>
      <c r="AB150" s="126"/>
      <c r="AC150" s="126"/>
    </row>
    <row r="151" customFormat="false" ht="12" hidden="false" customHeight="false" outlineLevel="0" collapsed="false">
      <c r="A151" s="116"/>
      <c r="B151" s="116" t="n">
        <f aca="false">zeige.Jahr</f>
        <v>11</v>
      </c>
      <c r="C151" s="117" t="str">
        <f aca="false">zeige.Jahrtxt</f>
        <v> Jahre</v>
      </c>
      <c r="D151" s="116" t="n">
        <f aca="false">zeige.Monat</f>
        <v>1</v>
      </c>
      <c r="E151" s="117" t="str">
        <f aca="false">zeige.Monattxt</f>
        <v> Monat</v>
      </c>
      <c r="F151" s="123" t="n">
        <f aca="false">rechne.Zahlungstermine</f>
        <v>47848</v>
      </c>
      <c r="G151" s="119" t="str">
        <f aca="false">rechne.Restkredit</f>
        <v> </v>
      </c>
      <c r="H151" s="119" t="str">
        <f aca="false">rechne.Zinsen</f>
        <v> </v>
      </c>
      <c r="I151" s="119" t="str">
        <f aca="false">rechne.Tilgung</f>
        <v> </v>
      </c>
      <c r="J151" s="119" t="str">
        <f aca="false">rechne.Betrag</f>
        <v> </v>
      </c>
      <c r="K151" s="119"/>
      <c r="L151" s="119" t="str">
        <f aca="false">rechne.GesZins</f>
        <v> </v>
      </c>
      <c r="M151" s="119" t="str">
        <f aca="false">rechne.GesTilg</f>
        <v> </v>
      </c>
      <c r="N151" s="119" t="str">
        <f aca="false">rechne.GesAufwand</f>
        <v> </v>
      </c>
      <c r="O151" s="120"/>
      <c r="P151" s="117" t="str">
        <f aca="false">rechne.AnzMonate</f>
        <v> </v>
      </c>
      <c r="Q151" s="124"/>
      <c r="R151" s="126"/>
      <c r="S151" s="126"/>
      <c r="T151" s="126"/>
      <c r="U151" s="126"/>
      <c r="V151" s="126"/>
      <c r="W151" s="126"/>
      <c r="X151" s="126"/>
      <c r="Y151" s="126"/>
      <c r="Z151" s="126"/>
      <c r="AA151" s="126"/>
      <c r="AB151" s="126"/>
      <c r="AC151" s="126"/>
    </row>
    <row r="152" customFormat="false" ht="12" hidden="false" customHeight="false" outlineLevel="0" collapsed="false">
      <c r="A152" s="116"/>
      <c r="B152" s="116" t="n">
        <f aca="false">zeige.Jahr</f>
        <v>11</v>
      </c>
      <c r="C152" s="117" t="str">
        <f aca="false">zeige.Jahrtxt</f>
        <v> Jahre</v>
      </c>
      <c r="D152" s="116" t="n">
        <f aca="false">zeige.Monat</f>
        <v>2</v>
      </c>
      <c r="E152" s="117" t="str">
        <f aca="false">zeige.Monattxt</f>
        <v> Monate</v>
      </c>
      <c r="F152" s="123" t="n">
        <f aca="false">rechne.Zahlungstermine</f>
        <v>47879</v>
      </c>
      <c r="G152" s="119" t="str">
        <f aca="false">rechne.Restkredit</f>
        <v> </v>
      </c>
      <c r="H152" s="119" t="str">
        <f aca="false">rechne.Zinsen</f>
        <v> </v>
      </c>
      <c r="I152" s="119" t="str">
        <f aca="false">rechne.Tilgung</f>
        <v> </v>
      </c>
      <c r="J152" s="119" t="str">
        <f aca="false">rechne.Betrag</f>
        <v> </v>
      </c>
      <c r="K152" s="119"/>
      <c r="L152" s="119" t="str">
        <f aca="false">rechne.GesZins</f>
        <v> </v>
      </c>
      <c r="M152" s="119" t="str">
        <f aca="false">rechne.GesTilg</f>
        <v> </v>
      </c>
      <c r="N152" s="119" t="str">
        <f aca="false">rechne.GesAufwand</f>
        <v> </v>
      </c>
      <c r="O152" s="120"/>
      <c r="P152" s="117" t="str">
        <f aca="false">rechne.AnzMonate</f>
        <v> </v>
      </c>
      <c r="Q152" s="124"/>
      <c r="R152" s="126"/>
      <c r="S152" s="126"/>
      <c r="T152" s="126"/>
      <c r="U152" s="126"/>
      <c r="V152" s="126"/>
      <c r="W152" s="126"/>
      <c r="X152" s="126"/>
      <c r="Y152" s="126"/>
      <c r="Z152" s="126"/>
      <c r="AA152" s="126"/>
      <c r="AB152" s="126"/>
      <c r="AC152" s="126"/>
    </row>
    <row r="153" customFormat="false" ht="12" hidden="false" customHeight="false" outlineLevel="0" collapsed="false">
      <c r="A153" s="116"/>
      <c r="B153" s="116" t="n">
        <f aca="false">zeige.Jahr</f>
        <v>11</v>
      </c>
      <c r="C153" s="117" t="str">
        <f aca="false">zeige.Jahrtxt</f>
        <v> Jahre</v>
      </c>
      <c r="D153" s="116" t="n">
        <f aca="false">zeige.Monat</f>
        <v>3</v>
      </c>
      <c r="E153" s="117" t="str">
        <f aca="false">zeige.Monattxt</f>
        <v> Monate</v>
      </c>
      <c r="F153" s="123" t="n">
        <f aca="false">rechne.Zahlungstermine</f>
        <v>47907</v>
      </c>
      <c r="G153" s="119" t="str">
        <f aca="false">rechne.Restkredit</f>
        <v> </v>
      </c>
      <c r="H153" s="119" t="str">
        <f aca="false">rechne.Zinsen</f>
        <v> </v>
      </c>
      <c r="I153" s="119" t="str">
        <f aca="false">rechne.Tilgung</f>
        <v> </v>
      </c>
      <c r="J153" s="119" t="str">
        <f aca="false">rechne.Betrag</f>
        <v> </v>
      </c>
      <c r="K153" s="119"/>
      <c r="L153" s="119" t="str">
        <f aca="false">rechne.GesZins</f>
        <v> </v>
      </c>
      <c r="M153" s="119" t="str">
        <f aca="false">rechne.GesTilg</f>
        <v> </v>
      </c>
      <c r="N153" s="119" t="str">
        <f aca="false">rechne.GesAufwand</f>
        <v> </v>
      </c>
      <c r="O153" s="120"/>
      <c r="P153" s="117" t="str">
        <f aca="false">rechne.AnzMonate</f>
        <v> </v>
      </c>
      <c r="Q153" s="124"/>
      <c r="R153" s="126"/>
      <c r="S153" s="126"/>
      <c r="T153" s="126"/>
      <c r="U153" s="126"/>
      <c r="V153" s="126"/>
      <c r="W153" s="126"/>
      <c r="X153" s="126"/>
      <c r="Y153" s="126"/>
      <c r="Z153" s="126"/>
      <c r="AA153" s="126"/>
      <c r="AB153" s="126"/>
      <c r="AC153" s="126"/>
    </row>
    <row r="154" customFormat="false" ht="12" hidden="false" customHeight="false" outlineLevel="0" collapsed="false">
      <c r="A154" s="116"/>
      <c r="B154" s="116" t="n">
        <f aca="false">zeige.Jahr</f>
        <v>11</v>
      </c>
      <c r="C154" s="117" t="str">
        <f aca="false">zeige.Jahrtxt</f>
        <v> Jahre</v>
      </c>
      <c r="D154" s="116" t="n">
        <f aca="false">zeige.Monat</f>
        <v>4</v>
      </c>
      <c r="E154" s="117" t="str">
        <f aca="false">zeige.Monattxt</f>
        <v> Monate</v>
      </c>
      <c r="F154" s="123" t="n">
        <f aca="false">rechne.Zahlungstermine</f>
        <v>47938</v>
      </c>
      <c r="G154" s="119" t="str">
        <f aca="false">rechne.Restkredit</f>
        <v> </v>
      </c>
      <c r="H154" s="119" t="str">
        <f aca="false">rechne.Zinsen</f>
        <v> </v>
      </c>
      <c r="I154" s="119" t="str">
        <f aca="false">rechne.Tilgung</f>
        <v> </v>
      </c>
      <c r="J154" s="119" t="str">
        <f aca="false">rechne.Betrag</f>
        <v> </v>
      </c>
      <c r="K154" s="119"/>
      <c r="L154" s="119" t="str">
        <f aca="false">rechne.GesZins</f>
        <v> </v>
      </c>
      <c r="M154" s="119" t="str">
        <f aca="false">rechne.GesTilg</f>
        <v> </v>
      </c>
      <c r="N154" s="119" t="str">
        <f aca="false">rechne.GesAufwand</f>
        <v> </v>
      </c>
      <c r="O154" s="120"/>
      <c r="P154" s="117" t="str">
        <f aca="false">rechne.AnzMonate</f>
        <v> </v>
      </c>
      <c r="Q154" s="124"/>
      <c r="R154" s="126"/>
      <c r="S154" s="126"/>
      <c r="T154" s="126"/>
      <c r="U154" s="126"/>
      <c r="V154" s="126"/>
      <c r="W154" s="126"/>
      <c r="X154" s="126"/>
      <c r="Y154" s="126"/>
      <c r="Z154" s="126"/>
      <c r="AA154" s="126"/>
      <c r="AB154" s="126"/>
      <c r="AC154" s="126"/>
    </row>
    <row r="155" customFormat="false" ht="12" hidden="false" customHeight="false" outlineLevel="0" collapsed="false">
      <c r="A155" s="116"/>
      <c r="B155" s="116" t="n">
        <f aca="false">zeige.Jahr</f>
        <v>11</v>
      </c>
      <c r="C155" s="117" t="str">
        <f aca="false">zeige.Jahrtxt</f>
        <v> Jahre</v>
      </c>
      <c r="D155" s="116" t="n">
        <f aca="false">zeige.Monat</f>
        <v>5</v>
      </c>
      <c r="E155" s="117" t="str">
        <f aca="false">zeige.Monattxt</f>
        <v> Monate</v>
      </c>
      <c r="F155" s="123" t="n">
        <f aca="false">rechne.Zahlungstermine</f>
        <v>47968</v>
      </c>
      <c r="G155" s="119" t="str">
        <f aca="false">rechne.Restkredit</f>
        <v> </v>
      </c>
      <c r="H155" s="119" t="str">
        <f aca="false">rechne.Zinsen</f>
        <v> </v>
      </c>
      <c r="I155" s="119" t="str">
        <f aca="false">rechne.Tilgung</f>
        <v> </v>
      </c>
      <c r="J155" s="119" t="str">
        <f aca="false">rechne.Betrag</f>
        <v> </v>
      </c>
      <c r="K155" s="119"/>
      <c r="L155" s="119" t="str">
        <f aca="false">rechne.GesZins</f>
        <v> </v>
      </c>
      <c r="M155" s="119" t="str">
        <f aca="false">rechne.GesTilg</f>
        <v> </v>
      </c>
      <c r="N155" s="119" t="str">
        <f aca="false">rechne.GesAufwand</f>
        <v> </v>
      </c>
      <c r="O155" s="120"/>
      <c r="P155" s="117" t="str">
        <f aca="false">rechne.AnzMonate</f>
        <v> </v>
      </c>
      <c r="Q155" s="124"/>
      <c r="R155" s="126"/>
      <c r="S155" s="126"/>
      <c r="T155" s="126"/>
      <c r="U155" s="126"/>
      <c r="V155" s="126"/>
      <c r="W155" s="126"/>
      <c r="X155" s="126"/>
      <c r="Y155" s="126"/>
      <c r="Z155" s="126"/>
      <c r="AA155" s="126"/>
      <c r="AB155" s="126"/>
      <c r="AC155" s="126"/>
    </row>
    <row r="156" customFormat="false" ht="12" hidden="false" customHeight="false" outlineLevel="0" collapsed="false">
      <c r="A156" s="116"/>
      <c r="B156" s="116" t="n">
        <f aca="false">zeige.Jahr</f>
        <v>11</v>
      </c>
      <c r="C156" s="117" t="str">
        <f aca="false">zeige.Jahrtxt</f>
        <v> Jahre</v>
      </c>
      <c r="D156" s="116" t="n">
        <f aca="false">zeige.Monat</f>
        <v>6</v>
      </c>
      <c r="E156" s="117" t="str">
        <f aca="false">zeige.Monattxt</f>
        <v> Monate</v>
      </c>
      <c r="F156" s="123" t="n">
        <f aca="false">rechne.Zahlungstermine</f>
        <v>47999</v>
      </c>
      <c r="G156" s="119" t="str">
        <f aca="false">rechne.Restkredit</f>
        <v> </v>
      </c>
      <c r="H156" s="119" t="str">
        <f aca="false">rechne.Zinsen</f>
        <v> </v>
      </c>
      <c r="I156" s="119" t="str">
        <f aca="false">rechne.Tilgung</f>
        <v> </v>
      </c>
      <c r="J156" s="119" t="str">
        <f aca="false">rechne.Betrag</f>
        <v> </v>
      </c>
      <c r="K156" s="119"/>
      <c r="L156" s="119" t="str">
        <f aca="false">rechne.GesZins</f>
        <v> </v>
      </c>
      <c r="M156" s="119" t="str">
        <f aca="false">rechne.GesTilg</f>
        <v> </v>
      </c>
      <c r="N156" s="119" t="str">
        <f aca="false">rechne.GesAufwand</f>
        <v> </v>
      </c>
      <c r="O156" s="120"/>
      <c r="P156" s="117" t="str">
        <f aca="false">rechne.AnzMonate</f>
        <v> </v>
      </c>
      <c r="Q156" s="124"/>
      <c r="R156" s="126"/>
      <c r="S156" s="126"/>
      <c r="T156" s="126"/>
      <c r="U156" s="126"/>
      <c r="V156" s="126"/>
      <c r="W156" s="126"/>
      <c r="X156" s="126"/>
      <c r="Y156" s="126"/>
      <c r="Z156" s="126"/>
      <c r="AA156" s="126"/>
      <c r="AB156" s="126"/>
      <c r="AC156" s="126"/>
    </row>
    <row r="157" customFormat="false" ht="12" hidden="false" customHeight="false" outlineLevel="0" collapsed="false">
      <c r="A157" s="116"/>
      <c r="B157" s="116" t="n">
        <f aca="false">zeige.Jahr</f>
        <v>11</v>
      </c>
      <c r="C157" s="117" t="str">
        <f aca="false">zeige.Jahrtxt</f>
        <v> Jahre</v>
      </c>
      <c r="D157" s="116" t="n">
        <f aca="false">zeige.Monat</f>
        <v>7</v>
      </c>
      <c r="E157" s="117" t="str">
        <f aca="false">zeige.Monattxt</f>
        <v> Monate</v>
      </c>
      <c r="F157" s="123" t="n">
        <f aca="false">rechne.Zahlungstermine</f>
        <v>48029</v>
      </c>
      <c r="G157" s="119" t="str">
        <f aca="false">rechne.Restkredit</f>
        <v> </v>
      </c>
      <c r="H157" s="119" t="str">
        <f aca="false">rechne.Zinsen</f>
        <v> </v>
      </c>
      <c r="I157" s="119" t="str">
        <f aca="false">rechne.Tilgung</f>
        <v> </v>
      </c>
      <c r="J157" s="119" t="str">
        <f aca="false">rechne.Betrag</f>
        <v> </v>
      </c>
      <c r="K157" s="119"/>
      <c r="L157" s="119" t="str">
        <f aca="false">rechne.GesZins</f>
        <v> </v>
      </c>
      <c r="M157" s="119" t="str">
        <f aca="false">rechne.GesTilg</f>
        <v> </v>
      </c>
      <c r="N157" s="119" t="str">
        <f aca="false">rechne.GesAufwand</f>
        <v> </v>
      </c>
      <c r="O157" s="120"/>
      <c r="P157" s="117" t="str">
        <f aca="false">rechne.AnzMonate</f>
        <v> </v>
      </c>
      <c r="Q157" s="124"/>
      <c r="R157" s="126"/>
      <c r="S157" s="126"/>
      <c r="T157" s="126"/>
      <c r="U157" s="126"/>
      <c r="V157" s="126"/>
      <c r="W157" s="126"/>
      <c r="X157" s="126"/>
      <c r="Y157" s="126"/>
      <c r="Z157" s="126"/>
      <c r="AA157" s="126"/>
      <c r="AB157" s="126"/>
      <c r="AC157" s="126"/>
    </row>
    <row r="158" customFormat="false" ht="12" hidden="false" customHeight="false" outlineLevel="0" collapsed="false">
      <c r="A158" s="116"/>
      <c r="B158" s="116" t="n">
        <f aca="false">zeige.Jahr</f>
        <v>11</v>
      </c>
      <c r="C158" s="117" t="str">
        <f aca="false">zeige.Jahrtxt</f>
        <v> Jahre</v>
      </c>
      <c r="D158" s="116" t="n">
        <f aca="false">zeige.Monat</f>
        <v>8</v>
      </c>
      <c r="E158" s="117" t="str">
        <f aca="false">zeige.Monattxt</f>
        <v> Monate</v>
      </c>
      <c r="F158" s="123" t="n">
        <f aca="false">rechne.Zahlungstermine</f>
        <v>48060</v>
      </c>
      <c r="G158" s="119" t="str">
        <f aca="false">rechne.Restkredit</f>
        <v> </v>
      </c>
      <c r="H158" s="119" t="str">
        <f aca="false">rechne.Zinsen</f>
        <v> </v>
      </c>
      <c r="I158" s="119" t="str">
        <f aca="false">rechne.Tilgung</f>
        <v> </v>
      </c>
      <c r="J158" s="119" t="str">
        <f aca="false">rechne.Betrag</f>
        <v> </v>
      </c>
      <c r="K158" s="119"/>
      <c r="L158" s="119" t="str">
        <f aca="false">rechne.GesZins</f>
        <v> </v>
      </c>
      <c r="M158" s="119" t="str">
        <f aca="false">rechne.GesTilg</f>
        <v> </v>
      </c>
      <c r="N158" s="119" t="str">
        <f aca="false">rechne.GesAufwand</f>
        <v> </v>
      </c>
      <c r="O158" s="120"/>
      <c r="P158" s="117" t="str">
        <f aca="false">rechne.AnzMonate</f>
        <v> </v>
      </c>
      <c r="Q158" s="124"/>
      <c r="R158" s="126"/>
      <c r="S158" s="126"/>
      <c r="T158" s="126"/>
      <c r="U158" s="126"/>
      <c r="V158" s="126"/>
      <c r="W158" s="126"/>
      <c r="X158" s="126"/>
      <c r="Y158" s="126"/>
      <c r="Z158" s="126"/>
      <c r="AA158" s="126"/>
      <c r="AB158" s="126"/>
      <c r="AC158" s="126"/>
    </row>
    <row r="159" customFormat="false" ht="12" hidden="false" customHeight="false" outlineLevel="0" collapsed="false">
      <c r="A159" s="116"/>
      <c r="B159" s="116" t="n">
        <f aca="false">zeige.Jahr</f>
        <v>11</v>
      </c>
      <c r="C159" s="117" t="str">
        <f aca="false">zeige.Jahrtxt</f>
        <v> Jahre</v>
      </c>
      <c r="D159" s="116" t="n">
        <f aca="false">zeige.Monat</f>
        <v>9</v>
      </c>
      <c r="E159" s="117" t="str">
        <f aca="false">zeige.Monattxt</f>
        <v> Monate</v>
      </c>
      <c r="F159" s="123" t="n">
        <f aca="false">rechne.Zahlungstermine</f>
        <v>48091</v>
      </c>
      <c r="G159" s="119" t="str">
        <f aca="false">rechne.Restkredit</f>
        <v> </v>
      </c>
      <c r="H159" s="119" t="str">
        <f aca="false">rechne.Zinsen</f>
        <v> </v>
      </c>
      <c r="I159" s="119" t="str">
        <f aca="false">rechne.Tilgung</f>
        <v> </v>
      </c>
      <c r="J159" s="119" t="str">
        <f aca="false">rechne.Betrag</f>
        <v> </v>
      </c>
      <c r="K159" s="119"/>
      <c r="L159" s="119" t="str">
        <f aca="false">rechne.GesZins</f>
        <v> </v>
      </c>
      <c r="M159" s="119" t="str">
        <f aca="false">rechne.GesTilg</f>
        <v> </v>
      </c>
      <c r="N159" s="119" t="str">
        <f aca="false">rechne.GesAufwand</f>
        <v> </v>
      </c>
      <c r="O159" s="120"/>
      <c r="P159" s="117" t="str">
        <f aca="false">rechne.AnzMonate</f>
        <v> </v>
      </c>
      <c r="Q159" s="124"/>
      <c r="R159" s="126"/>
      <c r="S159" s="126"/>
      <c r="T159" s="126"/>
      <c r="U159" s="126"/>
      <c r="V159" s="126"/>
      <c r="W159" s="126"/>
      <c r="X159" s="126"/>
      <c r="Y159" s="126"/>
      <c r="Z159" s="126"/>
      <c r="AA159" s="126"/>
      <c r="AB159" s="126"/>
      <c r="AC159" s="126"/>
    </row>
    <row r="160" customFormat="false" ht="12" hidden="false" customHeight="false" outlineLevel="0" collapsed="false">
      <c r="A160" s="116"/>
      <c r="B160" s="116" t="n">
        <f aca="false">zeige.Jahr</f>
        <v>11</v>
      </c>
      <c r="C160" s="117" t="str">
        <f aca="false">zeige.Jahrtxt</f>
        <v> Jahre</v>
      </c>
      <c r="D160" s="116" t="n">
        <f aca="false">zeige.Monat</f>
        <v>10</v>
      </c>
      <c r="E160" s="117" t="str">
        <f aca="false">zeige.Monattxt</f>
        <v> Monate</v>
      </c>
      <c r="F160" s="123" t="n">
        <f aca="false">rechne.Zahlungstermine</f>
        <v>48121</v>
      </c>
      <c r="G160" s="119" t="str">
        <f aca="false">rechne.Restkredit</f>
        <v> </v>
      </c>
      <c r="H160" s="119" t="str">
        <f aca="false">rechne.Zinsen</f>
        <v> </v>
      </c>
      <c r="I160" s="119" t="str">
        <f aca="false">rechne.Tilgung</f>
        <v> </v>
      </c>
      <c r="J160" s="119" t="str">
        <f aca="false">rechne.Betrag</f>
        <v> </v>
      </c>
      <c r="K160" s="119"/>
      <c r="L160" s="119" t="str">
        <f aca="false">rechne.GesZins</f>
        <v> </v>
      </c>
      <c r="M160" s="119" t="str">
        <f aca="false">rechne.GesTilg</f>
        <v> </v>
      </c>
      <c r="N160" s="119" t="str">
        <f aca="false">rechne.GesAufwand</f>
        <v> </v>
      </c>
      <c r="O160" s="120"/>
      <c r="P160" s="117" t="str">
        <f aca="false">rechne.AnzMonate</f>
        <v> </v>
      </c>
      <c r="Q160" s="124"/>
      <c r="R160" s="126"/>
      <c r="S160" s="126"/>
      <c r="T160" s="126"/>
      <c r="U160" s="126"/>
      <c r="V160" s="126"/>
      <c r="W160" s="126"/>
      <c r="X160" s="126"/>
      <c r="Y160" s="126"/>
      <c r="Z160" s="126"/>
      <c r="AA160" s="126"/>
      <c r="AB160" s="126"/>
      <c r="AC160" s="126"/>
    </row>
    <row r="161" customFormat="false" ht="12" hidden="false" customHeight="false" outlineLevel="0" collapsed="false">
      <c r="A161" s="116"/>
      <c r="B161" s="116" t="n">
        <f aca="false">zeige.Jahr</f>
        <v>11</v>
      </c>
      <c r="C161" s="117" t="str">
        <f aca="false">zeige.Jahrtxt</f>
        <v> Jahre</v>
      </c>
      <c r="D161" s="116" t="n">
        <f aca="false">zeige.Monat</f>
        <v>11</v>
      </c>
      <c r="E161" s="117" t="str">
        <f aca="false">zeige.Monattxt</f>
        <v> Monate</v>
      </c>
      <c r="F161" s="123" t="n">
        <f aca="false">rechne.Zahlungstermine</f>
        <v>48152</v>
      </c>
      <c r="G161" s="119" t="str">
        <f aca="false">rechne.Restkredit</f>
        <v> </v>
      </c>
      <c r="H161" s="119" t="str">
        <f aca="false">rechne.Zinsen</f>
        <v> </v>
      </c>
      <c r="I161" s="119" t="str">
        <f aca="false">rechne.Tilgung</f>
        <v> </v>
      </c>
      <c r="J161" s="119" t="str">
        <f aca="false">rechne.Betrag</f>
        <v> </v>
      </c>
      <c r="K161" s="119"/>
      <c r="L161" s="119" t="str">
        <f aca="false">rechne.GesZins</f>
        <v> </v>
      </c>
      <c r="M161" s="119" t="str">
        <f aca="false">rechne.GesTilg</f>
        <v> </v>
      </c>
      <c r="N161" s="119" t="str">
        <f aca="false">rechne.GesAufwand</f>
        <v> </v>
      </c>
      <c r="O161" s="120"/>
      <c r="P161" s="117" t="str">
        <f aca="false">rechne.AnzMonate</f>
        <v> </v>
      </c>
      <c r="Q161" s="124"/>
      <c r="R161" s="126"/>
      <c r="S161" s="126"/>
      <c r="T161" s="126"/>
      <c r="U161" s="126"/>
      <c r="V161" s="126"/>
      <c r="W161" s="126"/>
      <c r="X161" s="126"/>
      <c r="Y161" s="126"/>
      <c r="Z161" s="126"/>
      <c r="AA161" s="126"/>
      <c r="AB161" s="126"/>
      <c r="AC161" s="126"/>
    </row>
    <row r="162" customFormat="false" ht="12" hidden="false" customHeight="false" outlineLevel="0" collapsed="false">
      <c r="A162" s="116"/>
      <c r="B162" s="116" t="n">
        <f aca="false">zeige.Jahr</f>
        <v>12</v>
      </c>
      <c r="C162" s="117" t="str">
        <f aca="false">zeige.Jahrtxt</f>
        <v> Jahre</v>
      </c>
      <c r="D162" s="116" t="n">
        <f aca="false">zeige.Monat</f>
        <v>0</v>
      </c>
      <c r="E162" s="117" t="str">
        <f aca="false">zeige.Monattxt</f>
        <v> </v>
      </c>
      <c r="F162" s="123" t="n">
        <f aca="false">rechne.Zahlungstermine</f>
        <v>48182</v>
      </c>
      <c r="G162" s="119" t="str">
        <f aca="false">rechne.Restkredit</f>
        <v> </v>
      </c>
      <c r="H162" s="119" t="str">
        <f aca="false">rechne.Zinsen</f>
        <v> </v>
      </c>
      <c r="I162" s="119" t="str">
        <f aca="false">rechne.Tilgung</f>
        <v> </v>
      </c>
      <c r="J162" s="119" t="str">
        <f aca="false">rechne.Betrag</f>
        <v> </v>
      </c>
      <c r="K162" s="119"/>
      <c r="L162" s="119" t="str">
        <f aca="false">rechne.GesZins</f>
        <v> </v>
      </c>
      <c r="M162" s="119" t="str">
        <f aca="false">rechne.GesTilg</f>
        <v> </v>
      </c>
      <c r="N162" s="119" t="str">
        <f aca="false">rechne.GesAufwand</f>
        <v> </v>
      </c>
      <c r="O162" s="120"/>
      <c r="P162" s="117" t="str">
        <f aca="false">rechne.AnzMonate</f>
        <v> </v>
      </c>
      <c r="Q162" s="124"/>
      <c r="R162" s="126"/>
      <c r="S162" s="126"/>
      <c r="T162" s="126"/>
      <c r="U162" s="126"/>
      <c r="V162" s="126"/>
      <c r="W162" s="126"/>
      <c r="X162" s="126"/>
      <c r="Y162" s="126"/>
      <c r="Z162" s="126"/>
      <c r="AA162" s="126"/>
      <c r="AB162" s="126"/>
      <c r="AC162" s="126"/>
    </row>
    <row r="163" customFormat="false" ht="12" hidden="false" customHeight="false" outlineLevel="0" collapsed="false">
      <c r="A163" s="116"/>
      <c r="B163" s="116" t="n">
        <f aca="false">zeige.Jahr</f>
        <v>12</v>
      </c>
      <c r="C163" s="117" t="str">
        <f aca="false">zeige.Jahrtxt</f>
        <v> Jahre</v>
      </c>
      <c r="D163" s="116" t="n">
        <f aca="false">zeige.Monat</f>
        <v>1</v>
      </c>
      <c r="E163" s="117" t="str">
        <f aca="false">zeige.Monattxt</f>
        <v> Monat</v>
      </c>
      <c r="F163" s="123" t="n">
        <f aca="false">rechne.Zahlungstermine</f>
        <v>48213</v>
      </c>
      <c r="G163" s="119" t="str">
        <f aca="false">rechne.Restkredit</f>
        <v> </v>
      </c>
      <c r="H163" s="119" t="str">
        <f aca="false">rechne.Zinsen</f>
        <v> </v>
      </c>
      <c r="I163" s="119" t="str">
        <f aca="false">rechne.Tilgung</f>
        <v> </v>
      </c>
      <c r="J163" s="119" t="str">
        <f aca="false">rechne.Betrag</f>
        <v> </v>
      </c>
      <c r="K163" s="119"/>
      <c r="L163" s="119" t="str">
        <f aca="false">rechne.GesZins</f>
        <v> </v>
      </c>
      <c r="M163" s="119" t="str">
        <f aca="false">rechne.GesTilg</f>
        <v> </v>
      </c>
      <c r="N163" s="119" t="str">
        <f aca="false">rechne.GesAufwand</f>
        <v> </v>
      </c>
      <c r="O163" s="120"/>
      <c r="P163" s="117" t="str">
        <f aca="false">rechne.AnzMonate</f>
        <v> </v>
      </c>
      <c r="Q163" s="124"/>
      <c r="R163" s="126"/>
      <c r="S163" s="126"/>
      <c r="T163" s="126"/>
      <c r="U163" s="126"/>
      <c r="V163" s="126"/>
      <c r="W163" s="126"/>
      <c r="X163" s="126"/>
      <c r="Y163" s="126"/>
      <c r="Z163" s="126"/>
      <c r="AA163" s="126"/>
      <c r="AB163" s="126"/>
      <c r="AC163" s="126"/>
    </row>
    <row r="164" customFormat="false" ht="12" hidden="false" customHeight="false" outlineLevel="0" collapsed="false">
      <c r="A164" s="116"/>
      <c r="B164" s="116" t="n">
        <f aca="false">zeige.Jahr</f>
        <v>12</v>
      </c>
      <c r="C164" s="117" t="str">
        <f aca="false">zeige.Jahrtxt</f>
        <v> Jahre</v>
      </c>
      <c r="D164" s="116" t="n">
        <f aca="false">zeige.Monat</f>
        <v>2</v>
      </c>
      <c r="E164" s="117" t="str">
        <f aca="false">zeige.Monattxt</f>
        <v> Monate</v>
      </c>
      <c r="F164" s="123" t="n">
        <f aca="false">rechne.Zahlungstermine</f>
        <v>48244</v>
      </c>
      <c r="G164" s="119" t="str">
        <f aca="false">rechne.Restkredit</f>
        <v> </v>
      </c>
      <c r="H164" s="119" t="str">
        <f aca="false">rechne.Zinsen</f>
        <v> </v>
      </c>
      <c r="I164" s="119" t="str">
        <f aca="false">rechne.Tilgung</f>
        <v> </v>
      </c>
      <c r="J164" s="119" t="str">
        <f aca="false">rechne.Betrag</f>
        <v> </v>
      </c>
      <c r="K164" s="119"/>
      <c r="L164" s="119" t="str">
        <f aca="false">rechne.GesZins</f>
        <v> </v>
      </c>
      <c r="M164" s="119" t="str">
        <f aca="false">rechne.GesTilg</f>
        <v> </v>
      </c>
      <c r="N164" s="119" t="str">
        <f aca="false">rechne.GesAufwand</f>
        <v> </v>
      </c>
      <c r="O164" s="120"/>
      <c r="P164" s="117" t="str">
        <f aca="false">rechne.AnzMonate</f>
        <v> </v>
      </c>
      <c r="Q164" s="124"/>
      <c r="R164" s="126"/>
      <c r="S164" s="126"/>
      <c r="T164" s="126"/>
      <c r="U164" s="126"/>
      <c r="V164" s="126"/>
      <c r="W164" s="126"/>
      <c r="X164" s="126"/>
      <c r="Y164" s="126"/>
      <c r="Z164" s="126"/>
      <c r="AA164" s="126"/>
      <c r="AB164" s="126"/>
      <c r="AC164" s="126"/>
    </row>
    <row r="165" customFormat="false" ht="12" hidden="false" customHeight="false" outlineLevel="0" collapsed="false">
      <c r="A165" s="116"/>
      <c r="B165" s="116" t="n">
        <f aca="false">zeige.Jahr</f>
        <v>12</v>
      </c>
      <c r="C165" s="117" t="str">
        <f aca="false">zeige.Jahrtxt</f>
        <v> Jahre</v>
      </c>
      <c r="D165" s="116" t="n">
        <f aca="false">zeige.Monat</f>
        <v>3</v>
      </c>
      <c r="E165" s="117" t="str">
        <f aca="false">zeige.Monattxt</f>
        <v> Monate</v>
      </c>
      <c r="F165" s="123" t="n">
        <f aca="false">rechne.Zahlungstermine</f>
        <v>48273</v>
      </c>
      <c r="G165" s="119" t="str">
        <f aca="false">rechne.Restkredit</f>
        <v> </v>
      </c>
      <c r="H165" s="119" t="str">
        <f aca="false">rechne.Zinsen</f>
        <v> </v>
      </c>
      <c r="I165" s="119" t="str">
        <f aca="false">rechne.Tilgung</f>
        <v> </v>
      </c>
      <c r="J165" s="119" t="str">
        <f aca="false">rechne.Betrag</f>
        <v> </v>
      </c>
      <c r="K165" s="119"/>
      <c r="L165" s="119" t="str">
        <f aca="false">rechne.GesZins</f>
        <v> </v>
      </c>
      <c r="M165" s="119" t="str">
        <f aca="false">rechne.GesTilg</f>
        <v> </v>
      </c>
      <c r="N165" s="119" t="str">
        <f aca="false">rechne.GesAufwand</f>
        <v> </v>
      </c>
      <c r="O165" s="120"/>
      <c r="P165" s="117" t="str">
        <f aca="false">rechne.AnzMonate</f>
        <v> </v>
      </c>
      <c r="Q165" s="124"/>
      <c r="R165" s="126"/>
      <c r="S165" s="126"/>
      <c r="T165" s="126"/>
      <c r="U165" s="126"/>
      <c r="V165" s="126"/>
      <c r="W165" s="126"/>
      <c r="X165" s="126"/>
      <c r="Y165" s="126"/>
      <c r="Z165" s="126"/>
      <c r="AA165" s="126"/>
      <c r="AB165" s="126"/>
      <c r="AC165" s="126"/>
    </row>
    <row r="166" customFormat="false" ht="12" hidden="false" customHeight="false" outlineLevel="0" collapsed="false">
      <c r="A166" s="116"/>
      <c r="B166" s="116" t="n">
        <f aca="false">zeige.Jahr</f>
        <v>12</v>
      </c>
      <c r="C166" s="117" t="str">
        <f aca="false">zeige.Jahrtxt</f>
        <v> Jahre</v>
      </c>
      <c r="D166" s="116" t="n">
        <f aca="false">zeige.Monat</f>
        <v>4</v>
      </c>
      <c r="E166" s="117" t="str">
        <f aca="false">zeige.Monattxt</f>
        <v> Monate</v>
      </c>
      <c r="F166" s="123" t="n">
        <f aca="false">rechne.Zahlungstermine</f>
        <v>48304</v>
      </c>
      <c r="G166" s="119" t="str">
        <f aca="false">rechne.Restkredit</f>
        <v> </v>
      </c>
      <c r="H166" s="119" t="str">
        <f aca="false">rechne.Zinsen</f>
        <v> </v>
      </c>
      <c r="I166" s="119" t="str">
        <f aca="false">rechne.Tilgung</f>
        <v> </v>
      </c>
      <c r="J166" s="119" t="str">
        <f aca="false">rechne.Betrag</f>
        <v> </v>
      </c>
      <c r="K166" s="119"/>
      <c r="L166" s="119" t="str">
        <f aca="false">rechne.GesZins</f>
        <v> </v>
      </c>
      <c r="M166" s="119" t="str">
        <f aca="false">rechne.GesTilg</f>
        <v> </v>
      </c>
      <c r="N166" s="119" t="str">
        <f aca="false">rechne.GesAufwand</f>
        <v> </v>
      </c>
      <c r="O166" s="120"/>
      <c r="P166" s="117" t="str">
        <f aca="false">rechne.AnzMonate</f>
        <v> </v>
      </c>
      <c r="Q166" s="124"/>
      <c r="R166" s="126"/>
      <c r="S166" s="126"/>
      <c r="T166" s="126"/>
      <c r="U166" s="126"/>
      <c r="V166" s="126"/>
      <c r="W166" s="126"/>
      <c r="X166" s="126"/>
      <c r="Y166" s="126"/>
      <c r="Z166" s="126"/>
      <c r="AA166" s="126"/>
      <c r="AB166" s="126"/>
      <c r="AC166" s="126"/>
    </row>
    <row r="167" customFormat="false" ht="12" hidden="false" customHeight="false" outlineLevel="0" collapsed="false">
      <c r="A167" s="116"/>
      <c r="B167" s="116" t="n">
        <f aca="false">zeige.Jahr</f>
        <v>12</v>
      </c>
      <c r="C167" s="117" t="str">
        <f aca="false">zeige.Jahrtxt</f>
        <v> Jahre</v>
      </c>
      <c r="D167" s="116" t="n">
        <f aca="false">zeige.Monat</f>
        <v>5</v>
      </c>
      <c r="E167" s="117" t="str">
        <f aca="false">zeige.Monattxt</f>
        <v> Monate</v>
      </c>
      <c r="F167" s="123" t="n">
        <f aca="false">rechne.Zahlungstermine</f>
        <v>48334</v>
      </c>
      <c r="G167" s="119" t="str">
        <f aca="false">rechne.Restkredit</f>
        <v> </v>
      </c>
      <c r="H167" s="119" t="str">
        <f aca="false">rechne.Zinsen</f>
        <v> </v>
      </c>
      <c r="I167" s="119" t="str">
        <f aca="false">rechne.Tilgung</f>
        <v> </v>
      </c>
      <c r="J167" s="119" t="str">
        <f aca="false">rechne.Betrag</f>
        <v> </v>
      </c>
      <c r="K167" s="119"/>
      <c r="L167" s="119" t="str">
        <f aca="false">rechne.GesZins</f>
        <v> </v>
      </c>
      <c r="M167" s="119" t="str">
        <f aca="false">rechne.GesTilg</f>
        <v> </v>
      </c>
      <c r="N167" s="119" t="str">
        <f aca="false">rechne.GesAufwand</f>
        <v> </v>
      </c>
      <c r="O167" s="120"/>
      <c r="P167" s="117" t="str">
        <f aca="false">rechne.AnzMonate</f>
        <v> </v>
      </c>
      <c r="Q167" s="124"/>
      <c r="R167" s="126"/>
      <c r="S167" s="126"/>
      <c r="T167" s="126"/>
      <c r="U167" s="126"/>
      <c r="V167" s="126"/>
      <c r="W167" s="126"/>
      <c r="X167" s="126"/>
      <c r="Y167" s="126"/>
      <c r="Z167" s="126"/>
      <c r="AA167" s="126"/>
      <c r="AB167" s="126"/>
      <c r="AC167" s="126"/>
    </row>
    <row r="168" customFormat="false" ht="12" hidden="false" customHeight="false" outlineLevel="0" collapsed="false">
      <c r="A168" s="116"/>
      <c r="B168" s="116" t="n">
        <f aca="false">zeige.Jahr</f>
        <v>12</v>
      </c>
      <c r="C168" s="117" t="str">
        <f aca="false">zeige.Jahrtxt</f>
        <v> Jahre</v>
      </c>
      <c r="D168" s="116" t="n">
        <f aca="false">zeige.Monat</f>
        <v>6</v>
      </c>
      <c r="E168" s="117" t="str">
        <f aca="false">zeige.Monattxt</f>
        <v> Monate</v>
      </c>
      <c r="F168" s="123" t="n">
        <f aca="false">rechne.Zahlungstermine</f>
        <v>48365</v>
      </c>
      <c r="G168" s="119" t="str">
        <f aca="false">rechne.Restkredit</f>
        <v> </v>
      </c>
      <c r="H168" s="119" t="str">
        <f aca="false">rechne.Zinsen</f>
        <v> </v>
      </c>
      <c r="I168" s="119" t="str">
        <f aca="false">rechne.Tilgung</f>
        <v> </v>
      </c>
      <c r="J168" s="119" t="str">
        <f aca="false">rechne.Betrag</f>
        <v> </v>
      </c>
      <c r="K168" s="119"/>
      <c r="L168" s="119" t="str">
        <f aca="false">rechne.GesZins</f>
        <v> </v>
      </c>
      <c r="M168" s="119" t="str">
        <f aca="false">rechne.GesTilg</f>
        <v> </v>
      </c>
      <c r="N168" s="119" t="str">
        <f aca="false">rechne.GesAufwand</f>
        <v> </v>
      </c>
      <c r="O168" s="120"/>
      <c r="P168" s="117" t="str">
        <f aca="false">rechne.AnzMonate</f>
        <v> </v>
      </c>
      <c r="Q168" s="124"/>
      <c r="R168" s="126"/>
      <c r="S168" s="126"/>
      <c r="T168" s="126"/>
      <c r="U168" s="126"/>
      <c r="V168" s="126"/>
      <c r="W168" s="126"/>
      <c r="X168" s="126"/>
      <c r="Y168" s="126"/>
      <c r="Z168" s="126"/>
      <c r="AA168" s="126"/>
      <c r="AB168" s="126"/>
      <c r="AC168" s="126"/>
    </row>
    <row r="169" customFormat="false" ht="12" hidden="false" customHeight="false" outlineLevel="0" collapsed="false">
      <c r="A169" s="116"/>
      <c r="B169" s="116" t="n">
        <f aca="false">zeige.Jahr</f>
        <v>12</v>
      </c>
      <c r="C169" s="117" t="str">
        <f aca="false">zeige.Jahrtxt</f>
        <v> Jahre</v>
      </c>
      <c r="D169" s="116" t="n">
        <f aca="false">zeige.Monat</f>
        <v>7</v>
      </c>
      <c r="E169" s="117" t="str">
        <f aca="false">zeige.Monattxt</f>
        <v> Monate</v>
      </c>
      <c r="F169" s="123" t="n">
        <f aca="false">rechne.Zahlungstermine</f>
        <v>48395</v>
      </c>
      <c r="G169" s="119" t="str">
        <f aca="false">rechne.Restkredit</f>
        <v> </v>
      </c>
      <c r="H169" s="119" t="str">
        <f aca="false">rechne.Zinsen</f>
        <v> </v>
      </c>
      <c r="I169" s="119" t="str">
        <f aca="false">rechne.Tilgung</f>
        <v> </v>
      </c>
      <c r="J169" s="119" t="str">
        <f aca="false">rechne.Betrag</f>
        <v> </v>
      </c>
      <c r="K169" s="119"/>
      <c r="L169" s="119" t="str">
        <f aca="false">rechne.GesZins</f>
        <v> </v>
      </c>
      <c r="M169" s="119" t="str">
        <f aca="false">rechne.GesTilg</f>
        <v> </v>
      </c>
      <c r="N169" s="119" t="str">
        <f aca="false">rechne.GesAufwand</f>
        <v> </v>
      </c>
      <c r="O169" s="120"/>
      <c r="P169" s="117" t="str">
        <f aca="false">rechne.AnzMonate</f>
        <v> </v>
      </c>
      <c r="Q169" s="124"/>
      <c r="R169" s="126"/>
      <c r="S169" s="126"/>
      <c r="T169" s="126"/>
      <c r="U169" s="126"/>
      <c r="V169" s="126"/>
      <c r="W169" s="126"/>
      <c r="X169" s="126"/>
      <c r="Y169" s="126"/>
      <c r="Z169" s="126"/>
      <c r="AA169" s="126"/>
      <c r="AB169" s="126"/>
      <c r="AC169" s="126"/>
    </row>
    <row r="170" customFormat="false" ht="12" hidden="false" customHeight="false" outlineLevel="0" collapsed="false">
      <c r="A170" s="116"/>
      <c r="B170" s="116" t="n">
        <f aca="false">zeige.Jahr</f>
        <v>12</v>
      </c>
      <c r="C170" s="117" t="str">
        <f aca="false">zeige.Jahrtxt</f>
        <v> Jahre</v>
      </c>
      <c r="D170" s="116" t="n">
        <f aca="false">zeige.Monat</f>
        <v>8</v>
      </c>
      <c r="E170" s="117" t="str">
        <f aca="false">zeige.Monattxt</f>
        <v> Monate</v>
      </c>
      <c r="F170" s="123" t="n">
        <f aca="false">rechne.Zahlungstermine</f>
        <v>48426</v>
      </c>
      <c r="G170" s="119" t="str">
        <f aca="false">rechne.Restkredit</f>
        <v> </v>
      </c>
      <c r="H170" s="119" t="str">
        <f aca="false">rechne.Zinsen</f>
        <v> </v>
      </c>
      <c r="I170" s="119" t="str">
        <f aca="false">rechne.Tilgung</f>
        <v> </v>
      </c>
      <c r="J170" s="119" t="str">
        <f aca="false">rechne.Betrag</f>
        <v> </v>
      </c>
      <c r="K170" s="119"/>
      <c r="L170" s="119" t="str">
        <f aca="false">rechne.GesZins</f>
        <v> </v>
      </c>
      <c r="M170" s="119" t="str">
        <f aca="false">rechne.GesTilg</f>
        <v> </v>
      </c>
      <c r="N170" s="119" t="str">
        <f aca="false">rechne.GesAufwand</f>
        <v> </v>
      </c>
      <c r="O170" s="120"/>
      <c r="P170" s="117" t="str">
        <f aca="false">rechne.AnzMonate</f>
        <v> </v>
      </c>
      <c r="Q170" s="124"/>
      <c r="R170" s="126"/>
      <c r="S170" s="126"/>
      <c r="T170" s="126"/>
      <c r="U170" s="126"/>
      <c r="V170" s="126"/>
      <c r="W170" s="126"/>
      <c r="X170" s="126"/>
      <c r="Y170" s="126"/>
      <c r="Z170" s="126"/>
      <c r="AA170" s="126"/>
      <c r="AB170" s="126"/>
      <c r="AC170" s="126"/>
    </row>
    <row r="171" customFormat="false" ht="12" hidden="false" customHeight="false" outlineLevel="0" collapsed="false">
      <c r="A171" s="116"/>
      <c r="B171" s="116" t="n">
        <f aca="false">zeige.Jahr</f>
        <v>12</v>
      </c>
      <c r="C171" s="117" t="str">
        <f aca="false">zeige.Jahrtxt</f>
        <v> Jahre</v>
      </c>
      <c r="D171" s="116" t="n">
        <f aca="false">zeige.Monat</f>
        <v>9</v>
      </c>
      <c r="E171" s="117" t="str">
        <f aca="false">zeige.Monattxt</f>
        <v> Monate</v>
      </c>
      <c r="F171" s="123" t="n">
        <f aca="false">rechne.Zahlungstermine</f>
        <v>48457</v>
      </c>
      <c r="G171" s="119" t="str">
        <f aca="false">rechne.Restkredit</f>
        <v> </v>
      </c>
      <c r="H171" s="119" t="str">
        <f aca="false">rechne.Zinsen</f>
        <v> </v>
      </c>
      <c r="I171" s="119" t="str">
        <f aca="false">rechne.Tilgung</f>
        <v> </v>
      </c>
      <c r="J171" s="119" t="str">
        <f aca="false">rechne.Betrag</f>
        <v> </v>
      </c>
      <c r="K171" s="119"/>
      <c r="L171" s="119" t="str">
        <f aca="false">rechne.GesZins</f>
        <v> </v>
      </c>
      <c r="M171" s="119" t="str">
        <f aca="false">rechne.GesTilg</f>
        <v> </v>
      </c>
      <c r="N171" s="119" t="str">
        <f aca="false">rechne.GesAufwand</f>
        <v> </v>
      </c>
      <c r="O171" s="120"/>
      <c r="P171" s="117" t="str">
        <f aca="false">rechne.AnzMonate</f>
        <v> </v>
      </c>
      <c r="Q171" s="124"/>
      <c r="R171" s="126"/>
      <c r="S171" s="126"/>
      <c r="T171" s="126"/>
      <c r="U171" s="126"/>
      <c r="V171" s="126"/>
      <c r="W171" s="126"/>
      <c r="X171" s="126"/>
      <c r="Y171" s="126"/>
      <c r="Z171" s="126"/>
      <c r="AA171" s="126"/>
      <c r="AB171" s="126"/>
      <c r="AC171" s="126"/>
    </row>
    <row r="172" customFormat="false" ht="12" hidden="false" customHeight="false" outlineLevel="0" collapsed="false">
      <c r="A172" s="116"/>
      <c r="B172" s="116" t="n">
        <f aca="false">zeige.Jahr</f>
        <v>12</v>
      </c>
      <c r="C172" s="117" t="str">
        <f aca="false">zeige.Jahrtxt</f>
        <v> Jahre</v>
      </c>
      <c r="D172" s="116" t="n">
        <f aca="false">zeige.Monat</f>
        <v>10</v>
      </c>
      <c r="E172" s="117" t="str">
        <f aca="false">zeige.Monattxt</f>
        <v> Monate</v>
      </c>
      <c r="F172" s="123" t="n">
        <f aca="false">rechne.Zahlungstermine</f>
        <v>48487</v>
      </c>
      <c r="G172" s="119" t="str">
        <f aca="false">rechne.Restkredit</f>
        <v> </v>
      </c>
      <c r="H172" s="119" t="str">
        <f aca="false">rechne.Zinsen</f>
        <v> </v>
      </c>
      <c r="I172" s="119" t="str">
        <f aca="false">rechne.Tilgung</f>
        <v> </v>
      </c>
      <c r="J172" s="119" t="str">
        <f aca="false">rechne.Betrag</f>
        <v> </v>
      </c>
      <c r="K172" s="119"/>
      <c r="L172" s="119" t="str">
        <f aca="false">rechne.GesZins</f>
        <v> </v>
      </c>
      <c r="M172" s="119" t="str">
        <f aca="false">rechne.GesTilg</f>
        <v> </v>
      </c>
      <c r="N172" s="119" t="str">
        <f aca="false">rechne.GesAufwand</f>
        <v> </v>
      </c>
      <c r="O172" s="120"/>
      <c r="P172" s="117" t="str">
        <f aca="false">rechne.AnzMonate</f>
        <v> </v>
      </c>
      <c r="Q172" s="124"/>
      <c r="R172" s="126"/>
      <c r="S172" s="126"/>
      <c r="T172" s="126"/>
      <c r="U172" s="126"/>
      <c r="V172" s="126"/>
      <c r="W172" s="126"/>
      <c r="X172" s="126"/>
      <c r="Y172" s="126"/>
      <c r="Z172" s="126"/>
      <c r="AA172" s="126"/>
      <c r="AB172" s="126"/>
      <c r="AC172" s="126"/>
    </row>
    <row r="173" customFormat="false" ht="12" hidden="false" customHeight="false" outlineLevel="0" collapsed="false">
      <c r="A173" s="116"/>
      <c r="B173" s="116" t="n">
        <f aca="false">zeige.Jahr</f>
        <v>12</v>
      </c>
      <c r="C173" s="117" t="str">
        <f aca="false">zeige.Jahrtxt</f>
        <v> Jahre</v>
      </c>
      <c r="D173" s="116" t="n">
        <f aca="false">zeige.Monat</f>
        <v>11</v>
      </c>
      <c r="E173" s="117" t="str">
        <f aca="false">zeige.Monattxt</f>
        <v> Monate</v>
      </c>
      <c r="F173" s="123" t="n">
        <f aca="false">rechne.Zahlungstermine</f>
        <v>48518</v>
      </c>
      <c r="G173" s="119" t="str">
        <f aca="false">rechne.Restkredit</f>
        <v> </v>
      </c>
      <c r="H173" s="119" t="str">
        <f aca="false">rechne.Zinsen</f>
        <v> </v>
      </c>
      <c r="I173" s="119" t="str">
        <f aca="false">rechne.Tilgung</f>
        <v> </v>
      </c>
      <c r="J173" s="119" t="str">
        <f aca="false">rechne.Betrag</f>
        <v> </v>
      </c>
      <c r="K173" s="119"/>
      <c r="L173" s="119" t="str">
        <f aca="false">rechne.GesZins</f>
        <v> </v>
      </c>
      <c r="M173" s="119" t="str">
        <f aca="false">rechne.GesTilg</f>
        <v> </v>
      </c>
      <c r="N173" s="119" t="str">
        <f aca="false">rechne.GesAufwand</f>
        <v> </v>
      </c>
      <c r="O173" s="120"/>
      <c r="P173" s="117" t="str">
        <f aca="false">rechne.AnzMonate</f>
        <v> </v>
      </c>
      <c r="Q173" s="124"/>
      <c r="R173" s="126"/>
      <c r="S173" s="126"/>
      <c r="T173" s="126"/>
      <c r="U173" s="126"/>
      <c r="V173" s="126"/>
      <c r="W173" s="126"/>
      <c r="X173" s="126"/>
      <c r="Y173" s="126"/>
      <c r="Z173" s="126"/>
      <c r="AA173" s="126"/>
      <c r="AB173" s="126"/>
      <c r="AC173" s="126"/>
    </row>
    <row r="174" customFormat="false" ht="12" hidden="false" customHeight="false" outlineLevel="0" collapsed="false">
      <c r="A174" s="116"/>
      <c r="B174" s="116" t="n">
        <f aca="false">zeige.Jahr</f>
        <v>13</v>
      </c>
      <c r="C174" s="117" t="str">
        <f aca="false">zeige.Jahrtxt</f>
        <v> Jahre</v>
      </c>
      <c r="D174" s="116" t="n">
        <f aca="false">zeige.Monat</f>
        <v>0</v>
      </c>
      <c r="E174" s="117" t="str">
        <f aca="false">zeige.Monattxt</f>
        <v> </v>
      </c>
      <c r="F174" s="123" t="n">
        <f aca="false">rechne.Zahlungstermine</f>
        <v>48548</v>
      </c>
      <c r="G174" s="119" t="str">
        <f aca="false">rechne.Restkredit</f>
        <v> </v>
      </c>
      <c r="H174" s="119" t="str">
        <f aca="false">rechne.Zinsen</f>
        <v> </v>
      </c>
      <c r="I174" s="119" t="str">
        <f aca="false">rechne.Tilgung</f>
        <v> </v>
      </c>
      <c r="J174" s="119" t="str">
        <f aca="false">rechne.Betrag</f>
        <v> </v>
      </c>
      <c r="K174" s="119"/>
      <c r="L174" s="119" t="str">
        <f aca="false">rechne.GesZins</f>
        <v> </v>
      </c>
      <c r="M174" s="119" t="str">
        <f aca="false">rechne.GesTilg</f>
        <v> </v>
      </c>
      <c r="N174" s="119" t="str">
        <f aca="false">rechne.GesAufwand</f>
        <v> </v>
      </c>
      <c r="O174" s="120"/>
      <c r="P174" s="117" t="str">
        <f aca="false">rechne.AnzMonate</f>
        <v> </v>
      </c>
      <c r="Q174" s="124"/>
      <c r="R174" s="126"/>
      <c r="S174" s="126"/>
      <c r="T174" s="126"/>
      <c r="U174" s="126"/>
      <c r="V174" s="126"/>
      <c r="W174" s="126"/>
      <c r="X174" s="126"/>
      <c r="Y174" s="126"/>
      <c r="Z174" s="126"/>
      <c r="AA174" s="126"/>
      <c r="AB174" s="126"/>
      <c r="AC174" s="126"/>
    </row>
    <row r="175" customFormat="false" ht="12" hidden="false" customHeight="false" outlineLevel="0" collapsed="false">
      <c r="A175" s="116"/>
      <c r="B175" s="116" t="n">
        <f aca="false">zeige.Jahr</f>
        <v>13</v>
      </c>
      <c r="C175" s="117" t="str">
        <f aca="false">zeige.Jahrtxt</f>
        <v> Jahre</v>
      </c>
      <c r="D175" s="116" t="n">
        <f aca="false">zeige.Monat</f>
        <v>1</v>
      </c>
      <c r="E175" s="117" t="str">
        <f aca="false">zeige.Monattxt</f>
        <v> Monat</v>
      </c>
      <c r="F175" s="123" t="n">
        <f aca="false">rechne.Zahlungstermine</f>
        <v>48579</v>
      </c>
      <c r="G175" s="119" t="str">
        <f aca="false">rechne.Restkredit</f>
        <v> </v>
      </c>
      <c r="H175" s="119" t="str">
        <f aca="false">rechne.Zinsen</f>
        <v> </v>
      </c>
      <c r="I175" s="119" t="str">
        <f aca="false">rechne.Tilgung</f>
        <v> </v>
      </c>
      <c r="J175" s="119" t="str">
        <f aca="false">rechne.Betrag</f>
        <v> </v>
      </c>
      <c r="K175" s="119"/>
      <c r="L175" s="119" t="str">
        <f aca="false">rechne.GesZins</f>
        <v> </v>
      </c>
      <c r="M175" s="119" t="str">
        <f aca="false">rechne.GesTilg</f>
        <v> </v>
      </c>
      <c r="N175" s="119" t="str">
        <f aca="false">rechne.GesAufwand</f>
        <v> </v>
      </c>
      <c r="O175" s="120"/>
      <c r="P175" s="117" t="str">
        <f aca="false">rechne.AnzMonate</f>
        <v> </v>
      </c>
      <c r="Q175" s="124"/>
      <c r="R175" s="126"/>
      <c r="S175" s="126"/>
      <c r="T175" s="126"/>
      <c r="U175" s="126"/>
      <c r="V175" s="126"/>
      <c r="W175" s="126"/>
      <c r="X175" s="126"/>
      <c r="Y175" s="126"/>
      <c r="Z175" s="126"/>
      <c r="AA175" s="126"/>
      <c r="AB175" s="126"/>
      <c r="AC175" s="126"/>
    </row>
    <row r="176" customFormat="false" ht="12" hidden="false" customHeight="false" outlineLevel="0" collapsed="false">
      <c r="A176" s="116"/>
      <c r="B176" s="116" t="n">
        <f aca="false">zeige.Jahr</f>
        <v>13</v>
      </c>
      <c r="C176" s="117" t="str">
        <f aca="false">zeige.Jahrtxt</f>
        <v> Jahre</v>
      </c>
      <c r="D176" s="116" t="n">
        <f aca="false">zeige.Monat</f>
        <v>2</v>
      </c>
      <c r="E176" s="117" t="str">
        <f aca="false">zeige.Monattxt</f>
        <v> Monate</v>
      </c>
      <c r="F176" s="123" t="n">
        <f aca="false">rechne.Zahlungstermine</f>
        <v>48610</v>
      </c>
      <c r="G176" s="119" t="str">
        <f aca="false">rechne.Restkredit</f>
        <v> </v>
      </c>
      <c r="H176" s="119" t="str">
        <f aca="false">rechne.Zinsen</f>
        <v> </v>
      </c>
      <c r="I176" s="119" t="str">
        <f aca="false">rechne.Tilgung</f>
        <v> </v>
      </c>
      <c r="J176" s="119" t="str">
        <f aca="false">rechne.Betrag</f>
        <v> </v>
      </c>
      <c r="K176" s="119"/>
      <c r="L176" s="119" t="str">
        <f aca="false">rechne.GesZins</f>
        <v> </v>
      </c>
      <c r="M176" s="119" t="str">
        <f aca="false">rechne.GesTilg</f>
        <v> </v>
      </c>
      <c r="N176" s="119" t="str">
        <f aca="false">rechne.GesAufwand</f>
        <v> </v>
      </c>
      <c r="O176" s="120"/>
      <c r="P176" s="117" t="str">
        <f aca="false">rechne.AnzMonate</f>
        <v> </v>
      </c>
      <c r="Q176" s="124"/>
      <c r="R176" s="126"/>
      <c r="S176" s="126"/>
      <c r="T176" s="126"/>
      <c r="U176" s="126"/>
      <c r="V176" s="126"/>
      <c r="W176" s="126"/>
      <c r="X176" s="126"/>
      <c r="Y176" s="126"/>
      <c r="Z176" s="126"/>
      <c r="AA176" s="126"/>
      <c r="AB176" s="126"/>
      <c r="AC176" s="126"/>
    </row>
    <row r="177" customFormat="false" ht="12" hidden="false" customHeight="false" outlineLevel="0" collapsed="false">
      <c r="A177" s="116"/>
      <c r="B177" s="116" t="n">
        <f aca="false">zeige.Jahr</f>
        <v>13</v>
      </c>
      <c r="C177" s="117" t="str">
        <f aca="false">zeige.Jahrtxt</f>
        <v> Jahre</v>
      </c>
      <c r="D177" s="116" t="n">
        <f aca="false">zeige.Monat</f>
        <v>3</v>
      </c>
      <c r="E177" s="117" t="str">
        <f aca="false">zeige.Monattxt</f>
        <v> Monate</v>
      </c>
      <c r="F177" s="123" t="n">
        <f aca="false">rechne.Zahlungstermine</f>
        <v>48638</v>
      </c>
      <c r="G177" s="119" t="str">
        <f aca="false">rechne.Restkredit</f>
        <v> </v>
      </c>
      <c r="H177" s="119" t="str">
        <f aca="false">rechne.Zinsen</f>
        <v> </v>
      </c>
      <c r="I177" s="119" t="str">
        <f aca="false">rechne.Tilgung</f>
        <v> </v>
      </c>
      <c r="J177" s="119" t="str">
        <f aca="false">rechne.Betrag</f>
        <v> </v>
      </c>
      <c r="K177" s="119"/>
      <c r="L177" s="119" t="str">
        <f aca="false">rechne.GesZins</f>
        <v> </v>
      </c>
      <c r="M177" s="119" t="str">
        <f aca="false">rechne.GesTilg</f>
        <v> </v>
      </c>
      <c r="N177" s="119" t="str">
        <f aca="false">rechne.GesAufwand</f>
        <v> </v>
      </c>
      <c r="O177" s="120"/>
      <c r="P177" s="117" t="str">
        <f aca="false">rechne.AnzMonate</f>
        <v> </v>
      </c>
      <c r="Q177" s="124"/>
      <c r="R177" s="126"/>
      <c r="S177" s="126"/>
      <c r="T177" s="126"/>
      <c r="U177" s="126"/>
      <c r="V177" s="126"/>
      <c r="W177" s="126"/>
      <c r="X177" s="126"/>
      <c r="Y177" s="126"/>
      <c r="Z177" s="126"/>
      <c r="AA177" s="126"/>
      <c r="AB177" s="126"/>
      <c r="AC177" s="126"/>
    </row>
    <row r="178" customFormat="false" ht="12" hidden="false" customHeight="false" outlineLevel="0" collapsed="false">
      <c r="A178" s="116"/>
      <c r="B178" s="116" t="n">
        <f aca="false">zeige.Jahr</f>
        <v>13</v>
      </c>
      <c r="C178" s="117" t="str">
        <f aca="false">zeige.Jahrtxt</f>
        <v> Jahre</v>
      </c>
      <c r="D178" s="116" t="n">
        <f aca="false">zeige.Monat</f>
        <v>4</v>
      </c>
      <c r="E178" s="117" t="str">
        <f aca="false">zeige.Monattxt</f>
        <v> Monate</v>
      </c>
      <c r="F178" s="123" t="n">
        <f aca="false">rechne.Zahlungstermine</f>
        <v>48669</v>
      </c>
      <c r="G178" s="119" t="str">
        <f aca="false">rechne.Restkredit</f>
        <v> </v>
      </c>
      <c r="H178" s="119" t="str">
        <f aca="false">rechne.Zinsen</f>
        <v> </v>
      </c>
      <c r="I178" s="119" t="str">
        <f aca="false">rechne.Tilgung</f>
        <v> </v>
      </c>
      <c r="J178" s="119" t="str">
        <f aca="false">rechne.Betrag</f>
        <v> </v>
      </c>
      <c r="K178" s="119"/>
      <c r="L178" s="119" t="str">
        <f aca="false">rechne.GesZins</f>
        <v> </v>
      </c>
      <c r="M178" s="119" t="str">
        <f aca="false">rechne.GesTilg</f>
        <v> </v>
      </c>
      <c r="N178" s="119" t="str">
        <f aca="false">rechne.GesAufwand</f>
        <v> </v>
      </c>
      <c r="O178" s="120"/>
      <c r="P178" s="117" t="str">
        <f aca="false">rechne.AnzMonate</f>
        <v> </v>
      </c>
      <c r="Q178" s="124"/>
      <c r="R178" s="126"/>
      <c r="S178" s="126"/>
      <c r="T178" s="126"/>
      <c r="U178" s="126"/>
      <c r="V178" s="126"/>
      <c r="W178" s="126"/>
      <c r="X178" s="126"/>
      <c r="Y178" s="126"/>
      <c r="Z178" s="126"/>
      <c r="AA178" s="126"/>
      <c r="AB178" s="126"/>
      <c r="AC178" s="126"/>
    </row>
    <row r="179" customFormat="false" ht="12" hidden="false" customHeight="false" outlineLevel="0" collapsed="false">
      <c r="A179" s="116"/>
      <c r="B179" s="116" t="n">
        <f aca="false">zeige.Jahr</f>
        <v>13</v>
      </c>
      <c r="C179" s="117" t="str">
        <f aca="false">zeige.Jahrtxt</f>
        <v> Jahre</v>
      </c>
      <c r="D179" s="116" t="n">
        <f aca="false">zeige.Monat</f>
        <v>5</v>
      </c>
      <c r="E179" s="117" t="str">
        <f aca="false">zeige.Monattxt</f>
        <v> Monate</v>
      </c>
      <c r="F179" s="123" t="n">
        <f aca="false">rechne.Zahlungstermine</f>
        <v>48699</v>
      </c>
      <c r="G179" s="119" t="str">
        <f aca="false">rechne.Restkredit</f>
        <v> </v>
      </c>
      <c r="H179" s="119" t="str">
        <f aca="false">rechne.Zinsen</f>
        <v> </v>
      </c>
      <c r="I179" s="119" t="str">
        <f aca="false">rechne.Tilgung</f>
        <v> </v>
      </c>
      <c r="J179" s="119" t="str">
        <f aca="false">rechne.Betrag</f>
        <v> </v>
      </c>
      <c r="K179" s="119"/>
      <c r="L179" s="119" t="str">
        <f aca="false">rechne.GesZins</f>
        <v> </v>
      </c>
      <c r="M179" s="119" t="str">
        <f aca="false">rechne.GesTilg</f>
        <v> </v>
      </c>
      <c r="N179" s="119" t="str">
        <f aca="false">rechne.GesAufwand</f>
        <v> </v>
      </c>
      <c r="O179" s="120"/>
      <c r="P179" s="117" t="str">
        <f aca="false">rechne.AnzMonate</f>
        <v> </v>
      </c>
      <c r="Q179" s="124"/>
      <c r="R179" s="126"/>
      <c r="S179" s="126"/>
      <c r="T179" s="126"/>
      <c r="U179" s="126"/>
      <c r="V179" s="126"/>
      <c r="W179" s="126"/>
      <c r="X179" s="126"/>
      <c r="Y179" s="126"/>
      <c r="Z179" s="126"/>
      <c r="AA179" s="126"/>
      <c r="AB179" s="126"/>
      <c r="AC179" s="126"/>
    </row>
    <row r="180" customFormat="false" ht="12" hidden="false" customHeight="false" outlineLevel="0" collapsed="false">
      <c r="A180" s="116"/>
      <c r="B180" s="116" t="n">
        <f aca="false">zeige.Jahr</f>
        <v>13</v>
      </c>
      <c r="C180" s="117" t="str">
        <f aca="false">zeige.Jahrtxt</f>
        <v> Jahre</v>
      </c>
      <c r="D180" s="116" t="n">
        <f aca="false">zeige.Monat</f>
        <v>6</v>
      </c>
      <c r="E180" s="117" t="str">
        <f aca="false">zeige.Monattxt</f>
        <v> Monate</v>
      </c>
      <c r="F180" s="123" t="n">
        <f aca="false">rechne.Zahlungstermine</f>
        <v>48730</v>
      </c>
      <c r="G180" s="119" t="str">
        <f aca="false">rechne.Restkredit</f>
        <v> </v>
      </c>
      <c r="H180" s="119" t="str">
        <f aca="false">rechne.Zinsen</f>
        <v> </v>
      </c>
      <c r="I180" s="119" t="str">
        <f aca="false">rechne.Tilgung</f>
        <v> </v>
      </c>
      <c r="J180" s="119" t="str">
        <f aca="false">rechne.Betrag</f>
        <v> </v>
      </c>
      <c r="K180" s="119"/>
      <c r="L180" s="119" t="str">
        <f aca="false">rechne.GesZins</f>
        <v> </v>
      </c>
      <c r="M180" s="119" t="str">
        <f aca="false">rechne.GesTilg</f>
        <v> </v>
      </c>
      <c r="N180" s="119" t="str">
        <f aca="false">rechne.GesAufwand</f>
        <v> </v>
      </c>
      <c r="O180" s="120"/>
      <c r="P180" s="117" t="str">
        <f aca="false">rechne.AnzMonate</f>
        <v> </v>
      </c>
      <c r="Q180" s="124"/>
      <c r="R180" s="126"/>
      <c r="S180" s="126"/>
      <c r="T180" s="126"/>
      <c r="U180" s="126"/>
      <c r="V180" s="126"/>
      <c r="W180" s="126"/>
      <c r="X180" s="126"/>
      <c r="Y180" s="126"/>
      <c r="Z180" s="126"/>
      <c r="AA180" s="126"/>
      <c r="AB180" s="126"/>
      <c r="AC180" s="126"/>
    </row>
    <row r="181" customFormat="false" ht="12" hidden="false" customHeight="false" outlineLevel="0" collapsed="false">
      <c r="A181" s="116"/>
      <c r="B181" s="116" t="n">
        <f aca="false">zeige.Jahr</f>
        <v>13</v>
      </c>
      <c r="C181" s="117" t="str">
        <f aca="false">zeige.Jahrtxt</f>
        <v> Jahre</v>
      </c>
      <c r="D181" s="116" t="n">
        <f aca="false">zeige.Monat</f>
        <v>7</v>
      </c>
      <c r="E181" s="117" t="str">
        <f aca="false">zeige.Monattxt</f>
        <v> Monate</v>
      </c>
      <c r="F181" s="123" t="n">
        <f aca="false">rechne.Zahlungstermine</f>
        <v>48760</v>
      </c>
      <c r="G181" s="119" t="str">
        <f aca="false">rechne.Restkredit</f>
        <v> </v>
      </c>
      <c r="H181" s="119" t="str">
        <f aca="false">rechne.Zinsen</f>
        <v> </v>
      </c>
      <c r="I181" s="119" t="str">
        <f aca="false">rechne.Tilgung</f>
        <v> </v>
      </c>
      <c r="J181" s="119" t="str">
        <f aca="false">rechne.Betrag</f>
        <v> </v>
      </c>
      <c r="K181" s="119"/>
      <c r="L181" s="119" t="str">
        <f aca="false">rechne.GesZins</f>
        <v> </v>
      </c>
      <c r="M181" s="119" t="str">
        <f aca="false">rechne.GesTilg</f>
        <v> </v>
      </c>
      <c r="N181" s="119" t="str">
        <f aca="false">rechne.GesAufwand</f>
        <v> </v>
      </c>
      <c r="O181" s="120"/>
      <c r="P181" s="117" t="str">
        <f aca="false">rechne.AnzMonate</f>
        <v> </v>
      </c>
      <c r="Q181" s="124"/>
      <c r="R181" s="126"/>
      <c r="S181" s="126"/>
      <c r="T181" s="126"/>
      <c r="U181" s="126"/>
      <c r="V181" s="126"/>
      <c r="W181" s="126"/>
      <c r="X181" s="126"/>
      <c r="Y181" s="126"/>
      <c r="Z181" s="126"/>
      <c r="AA181" s="126"/>
      <c r="AB181" s="126"/>
      <c r="AC181" s="126"/>
    </row>
    <row r="182" customFormat="false" ht="12" hidden="false" customHeight="false" outlineLevel="0" collapsed="false">
      <c r="A182" s="116"/>
      <c r="B182" s="116" t="n">
        <f aca="false">zeige.Jahr</f>
        <v>13</v>
      </c>
      <c r="C182" s="117" t="str">
        <f aca="false">zeige.Jahrtxt</f>
        <v> Jahre</v>
      </c>
      <c r="D182" s="116" t="n">
        <f aca="false">zeige.Monat</f>
        <v>8</v>
      </c>
      <c r="E182" s="117" t="str">
        <f aca="false">zeige.Monattxt</f>
        <v> Monate</v>
      </c>
      <c r="F182" s="123" t="n">
        <f aca="false">rechne.Zahlungstermine</f>
        <v>48791</v>
      </c>
      <c r="G182" s="119" t="str">
        <f aca="false">rechne.Restkredit</f>
        <v> </v>
      </c>
      <c r="H182" s="119" t="str">
        <f aca="false">rechne.Zinsen</f>
        <v> </v>
      </c>
      <c r="I182" s="119" t="str">
        <f aca="false">rechne.Tilgung</f>
        <v> </v>
      </c>
      <c r="J182" s="119" t="str">
        <f aca="false">rechne.Betrag</f>
        <v> </v>
      </c>
      <c r="K182" s="119"/>
      <c r="L182" s="119" t="str">
        <f aca="false">rechne.GesZins</f>
        <v> </v>
      </c>
      <c r="M182" s="119" t="str">
        <f aca="false">rechne.GesTilg</f>
        <v> </v>
      </c>
      <c r="N182" s="119" t="str">
        <f aca="false">rechne.GesAufwand</f>
        <v> </v>
      </c>
      <c r="O182" s="120"/>
      <c r="P182" s="117" t="str">
        <f aca="false">rechne.AnzMonate</f>
        <v> </v>
      </c>
      <c r="Q182" s="124"/>
      <c r="R182" s="126"/>
      <c r="S182" s="126"/>
      <c r="T182" s="126"/>
      <c r="U182" s="126"/>
      <c r="V182" s="126"/>
      <c r="W182" s="126"/>
      <c r="X182" s="126"/>
      <c r="Y182" s="126"/>
      <c r="Z182" s="126"/>
      <c r="AA182" s="126"/>
      <c r="AB182" s="126"/>
      <c r="AC182" s="126"/>
    </row>
    <row r="183" customFormat="false" ht="12" hidden="false" customHeight="false" outlineLevel="0" collapsed="false">
      <c r="A183" s="116"/>
      <c r="B183" s="116" t="n">
        <f aca="false">zeige.Jahr</f>
        <v>13</v>
      </c>
      <c r="C183" s="117" t="str">
        <f aca="false">zeige.Jahrtxt</f>
        <v> Jahre</v>
      </c>
      <c r="D183" s="116" t="n">
        <f aca="false">zeige.Monat</f>
        <v>9</v>
      </c>
      <c r="E183" s="117" t="str">
        <f aca="false">zeige.Monattxt</f>
        <v> Monate</v>
      </c>
      <c r="F183" s="123" t="n">
        <f aca="false">rechne.Zahlungstermine</f>
        <v>48822</v>
      </c>
      <c r="G183" s="119" t="str">
        <f aca="false">rechne.Restkredit</f>
        <v> </v>
      </c>
      <c r="H183" s="119" t="str">
        <f aca="false">rechne.Zinsen</f>
        <v> </v>
      </c>
      <c r="I183" s="119" t="str">
        <f aca="false">rechne.Tilgung</f>
        <v> </v>
      </c>
      <c r="J183" s="119" t="str">
        <f aca="false">rechne.Betrag</f>
        <v> </v>
      </c>
      <c r="K183" s="119"/>
      <c r="L183" s="119" t="str">
        <f aca="false">rechne.GesZins</f>
        <v> </v>
      </c>
      <c r="M183" s="119" t="str">
        <f aca="false">rechne.GesTilg</f>
        <v> </v>
      </c>
      <c r="N183" s="119" t="str">
        <f aca="false">rechne.GesAufwand</f>
        <v> </v>
      </c>
      <c r="O183" s="120"/>
      <c r="P183" s="117" t="str">
        <f aca="false">rechne.AnzMonate</f>
        <v> </v>
      </c>
      <c r="Q183" s="124"/>
      <c r="R183" s="126"/>
      <c r="S183" s="126"/>
      <c r="T183" s="126"/>
      <c r="U183" s="126"/>
      <c r="V183" s="126"/>
      <c r="W183" s="126"/>
      <c r="X183" s="126"/>
      <c r="Y183" s="126"/>
      <c r="Z183" s="126"/>
      <c r="AA183" s="126"/>
      <c r="AB183" s="126"/>
      <c r="AC183" s="126"/>
    </row>
    <row r="184" customFormat="false" ht="12" hidden="false" customHeight="false" outlineLevel="0" collapsed="false">
      <c r="A184" s="116"/>
      <c r="B184" s="116" t="n">
        <f aca="false">zeige.Jahr</f>
        <v>13</v>
      </c>
      <c r="C184" s="117" t="str">
        <f aca="false">zeige.Jahrtxt</f>
        <v> Jahre</v>
      </c>
      <c r="D184" s="116" t="n">
        <f aca="false">zeige.Monat</f>
        <v>10</v>
      </c>
      <c r="E184" s="117" t="str">
        <f aca="false">zeige.Monattxt</f>
        <v> Monate</v>
      </c>
      <c r="F184" s="123" t="n">
        <f aca="false">rechne.Zahlungstermine</f>
        <v>48852</v>
      </c>
      <c r="G184" s="119" t="str">
        <f aca="false">rechne.Restkredit</f>
        <v> </v>
      </c>
      <c r="H184" s="119" t="str">
        <f aca="false">rechne.Zinsen</f>
        <v> </v>
      </c>
      <c r="I184" s="119" t="str">
        <f aca="false">rechne.Tilgung</f>
        <v> </v>
      </c>
      <c r="J184" s="119" t="str">
        <f aca="false">rechne.Betrag</f>
        <v> </v>
      </c>
      <c r="K184" s="119"/>
      <c r="L184" s="119" t="str">
        <f aca="false">rechne.GesZins</f>
        <v> </v>
      </c>
      <c r="M184" s="119" t="str">
        <f aca="false">rechne.GesTilg</f>
        <v> </v>
      </c>
      <c r="N184" s="119" t="str">
        <f aca="false">rechne.GesAufwand</f>
        <v> </v>
      </c>
      <c r="O184" s="120"/>
      <c r="P184" s="117" t="str">
        <f aca="false">rechne.AnzMonate</f>
        <v> </v>
      </c>
      <c r="Q184" s="124"/>
      <c r="R184" s="126"/>
      <c r="S184" s="126"/>
      <c r="T184" s="126"/>
      <c r="U184" s="126"/>
      <c r="V184" s="126"/>
      <c r="W184" s="126"/>
      <c r="X184" s="126"/>
      <c r="Y184" s="126"/>
      <c r="Z184" s="126"/>
      <c r="AA184" s="126"/>
      <c r="AB184" s="126"/>
      <c r="AC184" s="126"/>
    </row>
    <row r="185" customFormat="false" ht="12" hidden="false" customHeight="false" outlineLevel="0" collapsed="false">
      <c r="A185" s="116"/>
      <c r="B185" s="116" t="n">
        <f aca="false">zeige.Jahr</f>
        <v>13</v>
      </c>
      <c r="C185" s="117" t="str">
        <f aca="false">zeige.Jahrtxt</f>
        <v> Jahre</v>
      </c>
      <c r="D185" s="116" t="n">
        <f aca="false">zeige.Monat</f>
        <v>11</v>
      </c>
      <c r="E185" s="117" t="str">
        <f aca="false">zeige.Monattxt</f>
        <v> Monate</v>
      </c>
      <c r="F185" s="123" t="n">
        <f aca="false">rechne.Zahlungstermine</f>
        <v>48883</v>
      </c>
      <c r="G185" s="119" t="str">
        <f aca="false">rechne.Restkredit</f>
        <v> </v>
      </c>
      <c r="H185" s="119" t="str">
        <f aca="false">rechne.Zinsen</f>
        <v> </v>
      </c>
      <c r="I185" s="119" t="str">
        <f aca="false">rechne.Tilgung</f>
        <v> </v>
      </c>
      <c r="J185" s="119" t="str">
        <f aca="false">rechne.Betrag</f>
        <v> </v>
      </c>
      <c r="K185" s="119"/>
      <c r="L185" s="119" t="str">
        <f aca="false">rechne.GesZins</f>
        <v> </v>
      </c>
      <c r="M185" s="119" t="str">
        <f aca="false">rechne.GesTilg</f>
        <v> </v>
      </c>
      <c r="N185" s="119" t="str">
        <f aca="false">rechne.GesAufwand</f>
        <v> </v>
      </c>
      <c r="O185" s="120"/>
      <c r="P185" s="117" t="str">
        <f aca="false">rechne.AnzMonate</f>
        <v> </v>
      </c>
      <c r="Q185" s="124"/>
      <c r="R185" s="126"/>
      <c r="S185" s="126"/>
      <c r="T185" s="126"/>
      <c r="U185" s="126"/>
      <c r="V185" s="126"/>
      <c r="W185" s="126"/>
      <c r="X185" s="126"/>
      <c r="Y185" s="126"/>
      <c r="Z185" s="126"/>
      <c r="AA185" s="126"/>
      <c r="AB185" s="126"/>
      <c r="AC185" s="126"/>
    </row>
    <row r="186" customFormat="false" ht="12" hidden="false" customHeight="false" outlineLevel="0" collapsed="false">
      <c r="A186" s="116"/>
      <c r="B186" s="116" t="n">
        <f aca="false">zeige.Jahr</f>
        <v>14</v>
      </c>
      <c r="C186" s="117" t="str">
        <f aca="false">zeige.Jahrtxt</f>
        <v> Jahre</v>
      </c>
      <c r="D186" s="116" t="n">
        <f aca="false">zeige.Monat</f>
        <v>0</v>
      </c>
      <c r="E186" s="117" t="str">
        <f aca="false">zeige.Monattxt</f>
        <v> </v>
      </c>
      <c r="F186" s="123" t="n">
        <f aca="false">rechne.Zahlungstermine</f>
        <v>48913</v>
      </c>
      <c r="G186" s="119" t="str">
        <f aca="false">rechne.Restkredit</f>
        <v> </v>
      </c>
      <c r="H186" s="119" t="str">
        <f aca="false">rechne.Zinsen</f>
        <v> </v>
      </c>
      <c r="I186" s="119" t="str">
        <f aca="false">rechne.Tilgung</f>
        <v> </v>
      </c>
      <c r="J186" s="119" t="str">
        <f aca="false">rechne.Betrag</f>
        <v> </v>
      </c>
      <c r="K186" s="119"/>
      <c r="L186" s="119" t="str">
        <f aca="false">rechne.GesZins</f>
        <v> </v>
      </c>
      <c r="M186" s="119" t="str">
        <f aca="false">rechne.GesTilg</f>
        <v> </v>
      </c>
      <c r="N186" s="119" t="str">
        <f aca="false">rechne.GesAufwand</f>
        <v> </v>
      </c>
      <c r="O186" s="120"/>
      <c r="P186" s="117" t="str">
        <f aca="false">rechne.AnzMonate</f>
        <v> </v>
      </c>
      <c r="Q186" s="124"/>
      <c r="R186" s="126"/>
      <c r="S186" s="126"/>
      <c r="T186" s="126"/>
      <c r="U186" s="126"/>
      <c r="V186" s="126"/>
      <c r="W186" s="126"/>
      <c r="X186" s="126"/>
      <c r="Y186" s="126"/>
      <c r="Z186" s="126"/>
      <c r="AA186" s="126"/>
      <c r="AB186" s="126"/>
      <c r="AC186" s="126"/>
    </row>
    <row r="187" customFormat="false" ht="12" hidden="false" customHeight="false" outlineLevel="0" collapsed="false">
      <c r="A187" s="116"/>
      <c r="B187" s="116" t="n">
        <f aca="false">zeige.Jahr</f>
        <v>14</v>
      </c>
      <c r="C187" s="117" t="str">
        <f aca="false">zeige.Jahrtxt</f>
        <v> Jahre</v>
      </c>
      <c r="D187" s="116" t="n">
        <f aca="false">zeige.Monat</f>
        <v>1</v>
      </c>
      <c r="E187" s="117" t="str">
        <f aca="false">zeige.Monattxt</f>
        <v> Monat</v>
      </c>
      <c r="F187" s="123" t="n">
        <f aca="false">rechne.Zahlungstermine</f>
        <v>48944</v>
      </c>
      <c r="G187" s="119" t="str">
        <f aca="false">rechne.Restkredit</f>
        <v> </v>
      </c>
      <c r="H187" s="119" t="str">
        <f aca="false">rechne.Zinsen</f>
        <v> </v>
      </c>
      <c r="I187" s="119" t="str">
        <f aca="false">rechne.Tilgung</f>
        <v> </v>
      </c>
      <c r="J187" s="119" t="str">
        <f aca="false">rechne.Betrag</f>
        <v> </v>
      </c>
      <c r="K187" s="119"/>
      <c r="L187" s="119" t="str">
        <f aca="false">rechne.GesZins</f>
        <v> </v>
      </c>
      <c r="M187" s="119" t="str">
        <f aca="false">rechne.GesTilg</f>
        <v> </v>
      </c>
      <c r="N187" s="119" t="str">
        <f aca="false">rechne.GesAufwand</f>
        <v> </v>
      </c>
      <c r="O187" s="120"/>
      <c r="P187" s="117" t="str">
        <f aca="false">rechne.AnzMonate</f>
        <v> </v>
      </c>
      <c r="Q187" s="124"/>
      <c r="R187" s="126"/>
      <c r="S187" s="126"/>
      <c r="T187" s="126"/>
      <c r="U187" s="126"/>
      <c r="V187" s="126"/>
      <c r="W187" s="126"/>
      <c r="X187" s="126"/>
      <c r="Y187" s="126"/>
      <c r="Z187" s="126"/>
      <c r="AA187" s="126"/>
      <c r="AB187" s="126"/>
      <c r="AC187" s="126"/>
    </row>
    <row r="188" customFormat="false" ht="12" hidden="false" customHeight="false" outlineLevel="0" collapsed="false">
      <c r="A188" s="116"/>
      <c r="B188" s="116" t="n">
        <f aca="false">zeige.Jahr</f>
        <v>14</v>
      </c>
      <c r="C188" s="117" t="str">
        <f aca="false">zeige.Jahrtxt</f>
        <v> Jahre</v>
      </c>
      <c r="D188" s="116" t="n">
        <f aca="false">zeige.Monat</f>
        <v>2</v>
      </c>
      <c r="E188" s="117" t="str">
        <f aca="false">zeige.Monattxt</f>
        <v> Monate</v>
      </c>
      <c r="F188" s="123" t="n">
        <f aca="false">rechne.Zahlungstermine</f>
        <v>48975</v>
      </c>
      <c r="G188" s="119" t="str">
        <f aca="false">rechne.Restkredit</f>
        <v> </v>
      </c>
      <c r="H188" s="119" t="str">
        <f aca="false">rechne.Zinsen</f>
        <v> </v>
      </c>
      <c r="I188" s="119" t="str">
        <f aca="false">rechne.Tilgung</f>
        <v> </v>
      </c>
      <c r="J188" s="119" t="str">
        <f aca="false">rechne.Betrag</f>
        <v> </v>
      </c>
      <c r="K188" s="119"/>
      <c r="L188" s="119" t="str">
        <f aca="false">rechne.GesZins</f>
        <v> </v>
      </c>
      <c r="M188" s="119" t="str">
        <f aca="false">rechne.GesTilg</f>
        <v> </v>
      </c>
      <c r="N188" s="119" t="str">
        <f aca="false">rechne.GesAufwand</f>
        <v> </v>
      </c>
      <c r="O188" s="120"/>
      <c r="P188" s="117" t="str">
        <f aca="false">rechne.AnzMonate</f>
        <v> </v>
      </c>
      <c r="Q188" s="124"/>
      <c r="R188" s="126"/>
      <c r="S188" s="126"/>
      <c r="T188" s="126"/>
      <c r="U188" s="126"/>
      <c r="V188" s="126"/>
      <c r="W188" s="126"/>
      <c r="X188" s="126"/>
      <c r="Y188" s="126"/>
      <c r="Z188" s="126"/>
      <c r="AA188" s="126"/>
      <c r="AB188" s="126"/>
      <c r="AC188" s="126"/>
    </row>
    <row r="189" customFormat="false" ht="12" hidden="false" customHeight="false" outlineLevel="0" collapsed="false">
      <c r="A189" s="116"/>
      <c r="B189" s="116" t="n">
        <f aca="false">zeige.Jahr</f>
        <v>14</v>
      </c>
      <c r="C189" s="117" t="str">
        <f aca="false">zeige.Jahrtxt</f>
        <v> Jahre</v>
      </c>
      <c r="D189" s="116" t="n">
        <f aca="false">zeige.Monat</f>
        <v>3</v>
      </c>
      <c r="E189" s="117" t="str">
        <f aca="false">zeige.Monattxt</f>
        <v> Monate</v>
      </c>
      <c r="F189" s="123" t="n">
        <f aca="false">rechne.Zahlungstermine</f>
        <v>49003</v>
      </c>
      <c r="G189" s="119" t="str">
        <f aca="false">rechne.Restkredit</f>
        <v> </v>
      </c>
      <c r="H189" s="119" t="str">
        <f aca="false">rechne.Zinsen</f>
        <v> </v>
      </c>
      <c r="I189" s="119" t="str">
        <f aca="false">rechne.Tilgung</f>
        <v> </v>
      </c>
      <c r="J189" s="119" t="str">
        <f aca="false">rechne.Betrag</f>
        <v> </v>
      </c>
      <c r="K189" s="119"/>
      <c r="L189" s="119" t="str">
        <f aca="false">rechne.GesZins</f>
        <v> </v>
      </c>
      <c r="M189" s="119" t="str">
        <f aca="false">rechne.GesTilg</f>
        <v> </v>
      </c>
      <c r="N189" s="119" t="str">
        <f aca="false">rechne.GesAufwand</f>
        <v> </v>
      </c>
      <c r="O189" s="120"/>
      <c r="P189" s="117" t="str">
        <f aca="false">rechne.AnzMonate</f>
        <v> </v>
      </c>
      <c r="Q189" s="124"/>
      <c r="R189" s="126"/>
      <c r="S189" s="126"/>
      <c r="T189" s="126"/>
      <c r="U189" s="126"/>
      <c r="V189" s="126"/>
      <c r="W189" s="126"/>
      <c r="X189" s="126"/>
      <c r="Y189" s="126"/>
      <c r="Z189" s="126"/>
      <c r="AA189" s="126"/>
      <c r="AB189" s="126"/>
      <c r="AC189" s="126"/>
    </row>
    <row r="190" customFormat="false" ht="12" hidden="false" customHeight="false" outlineLevel="0" collapsed="false">
      <c r="A190" s="116"/>
      <c r="B190" s="116" t="n">
        <f aca="false">zeige.Jahr</f>
        <v>14</v>
      </c>
      <c r="C190" s="117" t="str">
        <f aca="false">zeige.Jahrtxt</f>
        <v> Jahre</v>
      </c>
      <c r="D190" s="116" t="n">
        <f aca="false">zeige.Monat</f>
        <v>4</v>
      </c>
      <c r="E190" s="117" t="str">
        <f aca="false">zeige.Monattxt</f>
        <v> Monate</v>
      </c>
      <c r="F190" s="123" t="n">
        <f aca="false">rechne.Zahlungstermine</f>
        <v>49034</v>
      </c>
      <c r="G190" s="119" t="str">
        <f aca="false">rechne.Restkredit</f>
        <v> </v>
      </c>
      <c r="H190" s="119" t="str">
        <f aca="false">rechne.Zinsen</f>
        <v> </v>
      </c>
      <c r="I190" s="119" t="str">
        <f aca="false">rechne.Tilgung</f>
        <v> </v>
      </c>
      <c r="J190" s="119" t="str">
        <f aca="false">rechne.Betrag</f>
        <v> </v>
      </c>
      <c r="K190" s="119"/>
      <c r="L190" s="119" t="str">
        <f aca="false">rechne.GesZins</f>
        <v> </v>
      </c>
      <c r="M190" s="119" t="str">
        <f aca="false">rechne.GesTilg</f>
        <v> </v>
      </c>
      <c r="N190" s="119" t="str">
        <f aca="false">rechne.GesAufwand</f>
        <v> </v>
      </c>
      <c r="O190" s="120"/>
      <c r="P190" s="117" t="str">
        <f aca="false">rechne.AnzMonate</f>
        <v> </v>
      </c>
      <c r="Q190" s="124"/>
      <c r="R190" s="126"/>
      <c r="S190" s="126"/>
      <c r="T190" s="126"/>
      <c r="U190" s="126"/>
      <c r="V190" s="126"/>
      <c r="W190" s="126"/>
      <c r="X190" s="126"/>
      <c r="Y190" s="126"/>
      <c r="Z190" s="126"/>
      <c r="AA190" s="126"/>
      <c r="AB190" s="126"/>
      <c r="AC190" s="126"/>
    </row>
    <row r="191" customFormat="false" ht="12" hidden="false" customHeight="false" outlineLevel="0" collapsed="false">
      <c r="A191" s="116"/>
      <c r="B191" s="116" t="n">
        <f aca="false">zeige.Jahr</f>
        <v>14</v>
      </c>
      <c r="C191" s="117" t="str">
        <f aca="false">zeige.Jahrtxt</f>
        <v> Jahre</v>
      </c>
      <c r="D191" s="116" t="n">
        <f aca="false">zeige.Monat</f>
        <v>5</v>
      </c>
      <c r="E191" s="117" t="str">
        <f aca="false">zeige.Monattxt</f>
        <v> Monate</v>
      </c>
      <c r="F191" s="123" t="n">
        <f aca="false">rechne.Zahlungstermine</f>
        <v>49064</v>
      </c>
      <c r="G191" s="119" t="str">
        <f aca="false">rechne.Restkredit</f>
        <v> </v>
      </c>
      <c r="H191" s="119" t="str">
        <f aca="false">rechne.Zinsen</f>
        <v> </v>
      </c>
      <c r="I191" s="119" t="str">
        <f aca="false">rechne.Tilgung</f>
        <v> </v>
      </c>
      <c r="J191" s="119" t="str">
        <f aca="false">rechne.Betrag</f>
        <v> </v>
      </c>
      <c r="K191" s="119"/>
      <c r="L191" s="119" t="str">
        <f aca="false">rechne.GesZins</f>
        <v> </v>
      </c>
      <c r="M191" s="119" t="str">
        <f aca="false">rechne.GesTilg</f>
        <v> </v>
      </c>
      <c r="N191" s="119" t="str">
        <f aca="false">rechne.GesAufwand</f>
        <v> </v>
      </c>
      <c r="O191" s="120"/>
      <c r="P191" s="117" t="str">
        <f aca="false">rechne.AnzMonate</f>
        <v> </v>
      </c>
      <c r="Q191" s="124"/>
      <c r="R191" s="126"/>
      <c r="S191" s="126"/>
      <c r="T191" s="126"/>
      <c r="U191" s="126"/>
      <c r="V191" s="126"/>
      <c r="W191" s="126"/>
      <c r="X191" s="126"/>
      <c r="Y191" s="126"/>
      <c r="Z191" s="126"/>
      <c r="AA191" s="126"/>
      <c r="AB191" s="126"/>
      <c r="AC191" s="126"/>
    </row>
    <row r="192" customFormat="false" ht="12" hidden="false" customHeight="false" outlineLevel="0" collapsed="false">
      <c r="A192" s="116"/>
      <c r="B192" s="116" t="n">
        <f aca="false">zeige.Jahr</f>
        <v>14</v>
      </c>
      <c r="C192" s="117" t="str">
        <f aca="false">zeige.Jahrtxt</f>
        <v> Jahre</v>
      </c>
      <c r="D192" s="116" t="n">
        <f aca="false">zeige.Monat</f>
        <v>6</v>
      </c>
      <c r="E192" s="117" t="str">
        <f aca="false">zeige.Monattxt</f>
        <v> Monate</v>
      </c>
      <c r="F192" s="123" t="n">
        <f aca="false">rechne.Zahlungstermine</f>
        <v>49095</v>
      </c>
      <c r="G192" s="119" t="str">
        <f aca="false">rechne.Restkredit</f>
        <v> </v>
      </c>
      <c r="H192" s="119" t="str">
        <f aca="false">rechne.Zinsen</f>
        <v> </v>
      </c>
      <c r="I192" s="119" t="str">
        <f aca="false">rechne.Tilgung</f>
        <v> </v>
      </c>
      <c r="J192" s="119" t="str">
        <f aca="false">rechne.Betrag</f>
        <v> </v>
      </c>
      <c r="K192" s="119"/>
      <c r="L192" s="119" t="str">
        <f aca="false">rechne.GesZins</f>
        <v> </v>
      </c>
      <c r="M192" s="119" t="str">
        <f aca="false">rechne.GesTilg</f>
        <v> </v>
      </c>
      <c r="N192" s="119" t="str">
        <f aca="false">rechne.GesAufwand</f>
        <v> </v>
      </c>
      <c r="O192" s="120"/>
      <c r="P192" s="117" t="str">
        <f aca="false">rechne.AnzMonate</f>
        <v> </v>
      </c>
      <c r="Q192" s="124"/>
      <c r="R192" s="126"/>
      <c r="S192" s="126"/>
      <c r="T192" s="126"/>
      <c r="U192" s="126"/>
      <c r="V192" s="126"/>
      <c r="W192" s="126"/>
      <c r="X192" s="126"/>
      <c r="Y192" s="126"/>
      <c r="Z192" s="126"/>
      <c r="AA192" s="126"/>
      <c r="AB192" s="126"/>
      <c r="AC192" s="126"/>
    </row>
    <row r="193" customFormat="false" ht="12" hidden="false" customHeight="false" outlineLevel="0" collapsed="false">
      <c r="A193" s="116"/>
      <c r="B193" s="116" t="n">
        <f aca="false">zeige.Jahr</f>
        <v>14</v>
      </c>
      <c r="C193" s="117" t="str">
        <f aca="false">zeige.Jahrtxt</f>
        <v> Jahre</v>
      </c>
      <c r="D193" s="116" t="n">
        <f aca="false">zeige.Monat</f>
        <v>7</v>
      </c>
      <c r="E193" s="117" t="str">
        <f aca="false">zeige.Monattxt</f>
        <v> Monate</v>
      </c>
      <c r="F193" s="123" t="n">
        <f aca="false">rechne.Zahlungstermine</f>
        <v>49125</v>
      </c>
      <c r="G193" s="119" t="str">
        <f aca="false">rechne.Restkredit</f>
        <v> </v>
      </c>
      <c r="H193" s="119" t="str">
        <f aca="false">rechne.Zinsen</f>
        <v> </v>
      </c>
      <c r="I193" s="119" t="str">
        <f aca="false">rechne.Tilgung</f>
        <v> </v>
      </c>
      <c r="J193" s="119" t="str">
        <f aca="false">rechne.Betrag</f>
        <v> </v>
      </c>
      <c r="K193" s="119"/>
      <c r="L193" s="119" t="str">
        <f aca="false">rechne.GesZins</f>
        <v> </v>
      </c>
      <c r="M193" s="119" t="str">
        <f aca="false">rechne.GesTilg</f>
        <v> </v>
      </c>
      <c r="N193" s="119" t="str">
        <f aca="false">rechne.GesAufwand</f>
        <v> </v>
      </c>
      <c r="O193" s="120"/>
      <c r="P193" s="117" t="str">
        <f aca="false">rechne.AnzMonate</f>
        <v> </v>
      </c>
      <c r="Q193" s="124"/>
      <c r="R193" s="126"/>
      <c r="S193" s="126"/>
      <c r="T193" s="126"/>
      <c r="U193" s="126"/>
      <c r="V193" s="126"/>
      <c r="W193" s="126"/>
      <c r="X193" s="126"/>
      <c r="Y193" s="126"/>
      <c r="Z193" s="126"/>
      <c r="AA193" s="126"/>
      <c r="AB193" s="126"/>
      <c r="AC193" s="126"/>
    </row>
    <row r="194" customFormat="false" ht="12" hidden="false" customHeight="false" outlineLevel="0" collapsed="false">
      <c r="A194" s="116"/>
      <c r="B194" s="116" t="n">
        <f aca="false">zeige.Jahr</f>
        <v>14</v>
      </c>
      <c r="C194" s="117" t="str">
        <f aca="false">zeige.Jahrtxt</f>
        <v> Jahre</v>
      </c>
      <c r="D194" s="116" t="n">
        <f aca="false">zeige.Monat</f>
        <v>8</v>
      </c>
      <c r="E194" s="117" t="str">
        <f aca="false">zeige.Monattxt</f>
        <v> Monate</v>
      </c>
      <c r="F194" s="123" t="n">
        <f aca="false">rechne.Zahlungstermine</f>
        <v>49156</v>
      </c>
      <c r="G194" s="119" t="str">
        <f aca="false">rechne.Restkredit</f>
        <v> </v>
      </c>
      <c r="H194" s="119" t="str">
        <f aca="false">rechne.Zinsen</f>
        <v> </v>
      </c>
      <c r="I194" s="119" t="str">
        <f aca="false">rechne.Tilgung</f>
        <v> </v>
      </c>
      <c r="J194" s="119" t="str">
        <f aca="false">rechne.Betrag</f>
        <v> </v>
      </c>
      <c r="K194" s="119"/>
      <c r="L194" s="119" t="str">
        <f aca="false">rechne.GesZins</f>
        <v> </v>
      </c>
      <c r="M194" s="119" t="str">
        <f aca="false">rechne.GesTilg</f>
        <v> </v>
      </c>
      <c r="N194" s="119" t="str">
        <f aca="false">rechne.GesAufwand</f>
        <v> </v>
      </c>
      <c r="O194" s="120"/>
      <c r="P194" s="117" t="str">
        <f aca="false">rechne.AnzMonate</f>
        <v> </v>
      </c>
      <c r="Q194" s="124"/>
      <c r="R194" s="126"/>
      <c r="S194" s="126"/>
      <c r="T194" s="126"/>
      <c r="U194" s="126"/>
      <c r="V194" s="126"/>
      <c r="W194" s="126"/>
      <c r="X194" s="126"/>
      <c r="Y194" s="126"/>
      <c r="Z194" s="126"/>
      <c r="AA194" s="126"/>
      <c r="AB194" s="126"/>
      <c r="AC194" s="126"/>
    </row>
    <row r="195" customFormat="false" ht="12" hidden="false" customHeight="false" outlineLevel="0" collapsed="false">
      <c r="A195" s="116"/>
      <c r="B195" s="116" t="n">
        <f aca="false">zeige.Jahr</f>
        <v>14</v>
      </c>
      <c r="C195" s="117" t="str">
        <f aca="false">zeige.Jahrtxt</f>
        <v> Jahre</v>
      </c>
      <c r="D195" s="116" t="n">
        <f aca="false">zeige.Monat</f>
        <v>9</v>
      </c>
      <c r="E195" s="117" t="str">
        <f aca="false">zeige.Monattxt</f>
        <v> Monate</v>
      </c>
      <c r="F195" s="123" t="n">
        <f aca="false">rechne.Zahlungstermine</f>
        <v>49187</v>
      </c>
      <c r="G195" s="119" t="str">
        <f aca="false">rechne.Restkredit</f>
        <v> </v>
      </c>
      <c r="H195" s="119" t="str">
        <f aca="false">rechne.Zinsen</f>
        <v> </v>
      </c>
      <c r="I195" s="119" t="str">
        <f aca="false">rechne.Tilgung</f>
        <v> </v>
      </c>
      <c r="J195" s="119" t="str">
        <f aca="false">rechne.Betrag</f>
        <v> </v>
      </c>
      <c r="K195" s="119"/>
      <c r="L195" s="119" t="str">
        <f aca="false">rechne.GesZins</f>
        <v> </v>
      </c>
      <c r="M195" s="119" t="str">
        <f aca="false">rechne.GesTilg</f>
        <v> </v>
      </c>
      <c r="N195" s="119" t="str">
        <f aca="false">rechne.GesAufwand</f>
        <v> </v>
      </c>
      <c r="O195" s="120"/>
      <c r="P195" s="117" t="str">
        <f aca="false">rechne.AnzMonate</f>
        <v> </v>
      </c>
      <c r="Q195" s="124"/>
      <c r="R195" s="126"/>
      <c r="S195" s="126"/>
      <c r="T195" s="126"/>
      <c r="U195" s="126"/>
      <c r="V195" s="126"/>
      <c r="W195" s="126"/>
      <c r="X195" s="126"/>
      <c r="Y195" s="126"/>
      <c r="Z195" s="126"/>
      <c r="AA195" s="126"/>
      <c r="AB195" s="126"/>
      <c r="AC195" s="126"/>
    </row>
    <row r="196" customFormat="false" ht="12" hidden="false" customHeight="false" outlineLevel="0" collapsed="false">
      <c r="A196" s="116"/>
      <c r="B196" s="116" t="n">
        <f aca="false">zeige.Jahr</f>
        <v>14</v>
      </c>
      <c r="C196" s="117" t="str">
        <f aca="false">zeige.Jahrtxt</f>
        <v> Jahre</v>
      </c>
      <c r="D196" s="116" t="n">
        <f aca="false">zeige.Monat</f>
        <v>10</v>
      </c>
      <c r="E196" s="117" t="str">
        <f aca="false">zeige.Monattxt</f>
        <v> Monate</v>
      </c>
      <c r="F196" s="123" t="n">
        <f aca="false">rechne.Zahlungstermine</f>
        <v>49217</v>
      </c>
      <c r="G196" s="119" t="str">
        <f aca="false">rechne.Restkredit</f>
        <v> </v>
      </c>
      <c r="H196" s="119" t="str">
        <f aca="false">rechne.Zinsen</f>
        <v> </v>
      </c>
      <c r="I196" s="119" t="str">
        <f aca="false">rechne.Tilgung</f>
        <v> </v>
      </c>
      <c r="J196" s="119" t="str">
        <f aca="false">rechne.Betrag</f>
        <v> </v>
      </c>
      <c r="K196" s="119"/>
      <c r="L196" s="119" t="str">
        <f aca="false">rechne.GesZins</f>
        <v> </v>
      </c>
      <c r="M196" s="119" t="str">
        <f aca="false">rechne.GesTilg</f>
        <v> </v>
      </c>
      <c r="N196" s="119" t="str">
        <f aca="false">rechne.GesAufwand</f>
        <v> </v>
      </c>
      <c r="O196" s="120"/>
      <c r="P196" s="117" t="str">
        <f aca="false">rechne.AnzMonate</f>
        <v> </v>
      </c>
      <c r="Q196" s="124"/>
      <c r="R196" s="126"/>
      <c r="S196" s="126"/>
      <c r="T196" s="126"/>
      <c r="U196" s="126"/>
      <c r="V196" s="126"/>
      <c r="W196" s="126"/>
      <c r="X196" s="126"/>
      <c r="Y196" s="126"/>
      <c r="Z196" s="126"/>
      <c r="AA196" s="126"/>
      <c r="AB196" s="126"/>
      <c r="AC196" s="126"/>
    </row>
    <row r="197" customFormat="false" ht="12" hidden="false" customHeight="false" outlineLevel="0" collapsed="false">
      <c r="A197" s="116"/>
      <c r="B197" s="116" t="n">
        <f aca="false">zeige.Jahr</f>
        <v>14</v>
      </c>
      <c r="C197" s="117" t="str">
        <f aca="false">zeige.Jahrtxt</f>
        <v> Jahre</v>
      </c>
      <c r="D197" s="116" t="n">
        <f aca="false">zeige.Monat</f>
        <v>11</v>
      </c>
      <c r="E197" s="117" t="str">
        <f aca="false">zeige.Monattxt</f>
        <v> Monate</v>
      </c>
      <c r="F197" s="123" t="n">
        <f aca="false">rechne.Zahlungstermine</f>
        <v>49248</v>
      </c>
      <c r="G197" s="119" t="str">
        <f aca="false">rechne.Restkredit</f>
        <v> </v>
      </c>
      <c r="H197" s="119" t="str">
        <f aca="false">rechne.Zinsen</f>
        <v> </v>
      </c>
      <c r="I197" s="119" t="str">
        <f aca="false">rechne.Tilgung</f>
        <v> </v>
      </c>
      <c r="J197" s="119" t="str">
        <f aca="false">rechne.Betrag</f>
        <v> </v>
      </c>
      <c r="K197" s="119"/>
      <c r="L197" s="119" t="str">
        <f aca="false">rechne.GesZins</f>
        <v> </v>
      </c>
      <c r="M197" s="119" t="str">
        <f aca="false">rechne.GesTilg</f>
        <v> </v>
      </c>
      <c r="N197" s="119" t="str">
        <f aca="false">rechne.GesAufwand</f>
        <v> </v>
      </c>
      <c r="O197" s="120"/>
      <c r="P197" s="117" t="str">
        <f aca="false">rechne.AnzMonate</f>
        <v> </v>
      </c>
      <c r="Q197" s="124"/>
      <c r="R197" s="126"/>
      <c r="S197" s="126"/>
      <c r="T197" s="126"/>
      <c r="U197" s="126"/>
      <c r="V197" s="126"/>
      <c r="W197" s="126"/>
      <c r="X197" s="126"/>
      <c r="Y197" s="126"/>
      <c r="Z197" s="126"/>
      <c r="AA197" s="126"/>
      <c r="AB197" s="126"/>
      <c r="AC197" s="126"/>
    </row>
    <row r="198" customFormat="false" ht="12" hidden="false" customHeight="false" outlineLevel="0" collapsed="false">
      <c r="A198" s="116"/>
      <c r="B198" s="116" t="n">
        <f aca="false">zeige.Jahr</f>
        <v>15</v>
      </c>
      <c r="C198" s="117" t="str">
        <f aca="false">zeige.Jahrtxt</f>
        <v> Jahre</v>
      </c>
      <c r="D198" s="116" t="n">
        <f aca="false">zeige.Monat</f>
        <v>0</v>
      </c>
      <c r="E198" s="117" t="str">
        <f aca="false">zeige.Monattxt</f>
        <v> </v>
      </c>
      <c r="F198" s="123" t="n">
        <f aca="false">rechne.Zahlungstermine</f>
        <v>49278</v>
      </c>
      <c r="G198" s="119" t="str">
        <f aca="false">rechne.Restkredit</f>
        <v> </v>
      </c>
      <c r="H198" s="119" t="str">
        <f aca="false">rechne.Zinsen</f>
        <v> </v>
      </c>
      <c r="I198" s="119" t="str">
        <f aca="false">rechne.Tilgung</f>
        <v> </v>
      </c>
      <c r="J198" s="119" t="str">
        <f aca="false">rechne.Betrag</f>
        <v> </v>
      </c>
      <c r="K198" s="119"/>
      <c r="L198" s="119" t="str">
        <f aca="false">rechne.GesZins</f>
        <v> </v>
      </c>
      <c r="M198" s="119" t="str">
        <f aca="false">rechne.GesTilg</f>
        <v> </v>
      </c>
      <c r="N198" s="119" t="str">
        <f aca="false">rechne.GesAufwand</f>
        <v> </v>
      </c>
      <c r="O198" s="120"/>
      <c r="P198" s="117" t="str">
        <f aca="false">rechne.AnzMonate</f>
        <v> </v>
      </c>
      <c r="Q198" s="124"/>
      <c r="R198" s="126"/>
      <c r="S198" s="126"/>
      <c r="T198" s="126"/>
      <c r="U198" s="126"/>
      <c r="V198" s="126"/>
      <c r="W198" s="126"/>
      <c r="X198" s="126"/>
      <c r="Y198" s="126"/>
      <c r="Z198" s="126"/>
      <c r="AA198" s="126"/>
      <c r="AB198" s="126"/>
      <c r="AC198" s="126"/>
    </row>
    <row r="199" customFormat="false" ht="12" hidden="false" customHeight="false" outlineLevel="0" collapsed="false">
      <c r="A199" s="116"/>
      <c r="B199" s="116" t="n">
        <f aca="false">zeige.Jahr</f>
        <v>15</v>
      </c>
      <c r="C199" s="117" t="str">
        <f aca="false">zeige.Jahrtxt</f>
        <v> Jahre</v>
      </c>
      <c r="D199" s="116" t="n">
        <f aca="false">zeige.Monat</f>
        <v>1</v>
      </c>
      <c r="E199" s="117" t="str">
        <f aca="false">zeige.Monattxt</f>
        <v> Monat</v>
      </c>
      <c r="F199" s="123" t="n">
        <f aca="false">rechne.Zahlungstermine</f>
        <v>49309</v>
      </c>
      <c r="G199" s="119" t="str">
        <f aca="false">rechne.Restkredit</f>
        <v> </v>
      </c>
      <c r="H199" s="119" t="str">
        <f aca="false">rechne.Zinsen</f>
        <v> </v>
      </c>
      <c r="I199" s="119" t="str">
        <f aca="false">rechne.Tilgung</f>
        <v> </v>
      </c>
      <c r="J199" s="119" t="str">
        <f aca="false">rechne.Betrag</f>
        <v> </v>
      </c>
      <c r="K199" s="119"/>
      <c r="L199" s="119" t="str">
        <f aca="false">rechne.GesZins</f>
        <v> </v>
      </c>
      <c r="M199" s="119" t="str">
        <f aca="false">rechne.GesTilg</f>
        <v> </v>
      </c>
      <c r="N199" s="119" t="str">
        <f aca="false">rechne.GesAufwand</f>
        <v> </v>
      </c>
      <c r="O199" s="120"/>
      <c r="P199" s="117" t="str">
        <f aca="false">rechne.AnzMonate</f>
        <v> </v>
      </c>
      <c r="Q199" s="124"/>
      <c r="R199" s="126"/>
      <c r="S199" s="126"/>
      <c r="T199" s="126"/>
      <c r="U199" s="126"/>
      <c r="V199" s="126"/>
      <c r="W199" s="126"/>
      <c r="X199" s="126"/>
      <c r="Y199" s="126"/>
      <c r="Z199" s="126"/>
      <c r="AA199" s="126"/>
      <c r="AB199" s="126"/>
      <c r="AC199" s="126"/>
    </row>
    <row r="200" customFormat="false" ht="12" hidden="false" customHeight="false" outlineLevel="0" collapsed="false">
      <c r="A200" s="116"/>
      <c r="B200" s="116" t="n">
        <f aca="false">zeige.Jahr</f>
        <v>15</v>
      </c>
      <c r="C200" s="117" t="str">
        <f aca="false">zeige.Jahrtxt</f>
        <v> Jahre</v>
      </c>
      <c r="D200" s="116" t="n">
        <f aca="false">zeige.Monat</f>
        <v>2</v>
      </c>
      <c r="E200" s="117" t="str">
        <f aca="false">zeige.Monattxt</f>
        <v> Monate</v>
      </c>
      <c r="F200" s="123" t="n">
        <f aca="false">rechne.Zahlungstermine</f>
        <v>49340</v>
      </c>
      <c r="G200" s="119" t="str">
        <f aca="false">rechne.Restkredit</f>
        <v> </v>
      </c>
      <c r="H200" s="119" t="str">
        <f aca="false">rechne.Zinsen</f>
        <v> </v>
      </c>
      <c r="I200" s="119" t="str">
        <f aca="false">rechne.Tilgung</f>
        <v> </v>
      </c>
      <c r="J200" s="119" t="str">
        <f aca="false">rechne.Betrag</f>
        <v> </v>
      </c>
      <c r="K200" s="119"/>
      <c r="L200" s="119" t="str">
        <f aca="false">rechne.GesZins</f>
        <v> </v>
      </c>
      <c r="M200" s="119" t="str">
        <f aca="false">rechne.GesTilg</f>
        <v> </v>
      </c>
      <c r="N200" s="119" t="str">
        <f aca="false">rechne.GesAufwand</f>
        <v> </v>
      </c>
      <c r="O200" s="120"/>
      <c r="P200" s="117" t="str">
        <f aca="false">rechne.AnzMonate</f>
        <v> </v>
      </c>
      <c r="Q200" s="124"/>
      <c r="R200" s="126"/>
      <c r="S200" s="126"/>
      <c r="T200" s="126"/>
      <c r="U200" s="126"/>
      <c r="V200" s="126"/>
      <c r="W200" s="126"/>
      <c r="X200" s="126"/>
      <c r="Y200" s="126"/>
      <c r="Z200" s="126"/>
      <c r="AA200" s="126"/>
      <c r="AB200" s="126"/>
      <c r="AC200" s="126"/>
    </row>
    <row r="201" customFormat="false" ht="12" hidden="false" customHeight="false" outlineLevel="0" collapsed="false">
      <c r="A201" s="116"/>
      <c r="B201" s="116" t="n">
        <f aca="false">zeige.Jahr</f>
        <v>15</v>
      </c>
      <c r="C201" s="117" t="str">
        <f aca="false">zeige.Jahrtxt</f>
        <v> Jahre</v>
      </c>
      <c r="D201" s="116" t="n">
        <f aca="false">zeige.Monat</f>
        <v>3</v>
      </c>
      <c r="E201" s="117" t="str">
        <f aca="false">zeige.Monattxt</f>
        <v> Monate</v>
      </c>
      <c r="F201" s="123" t="n">
        <f aca="false">rechne.Zahlungstermine</f>
        <v>49368</v>
      </c>
      <c r="G201" s="119" t="str">
        <f aca="false">rechne.Restkredit</f>
        <v> </v>
      </c>
      <c r="H201" s="119" t="str">
        <f aca="false">rechne.Zinsen</f>
        <v> </v>
      </c>
      <c r="I201" s="119" t="str">
        <f aca="false">rechne.Tilgung</f>
        <v> </v>
      </c>
      <c r="J201" s="119" t="str">
        <f aca="false">rechne.Betrag</f>
        <v> </v>
      </c>
      <c r="K201" s="119"/>
      <c r="L201" s="119" t="str">
        <f aca="false">rechne.GesZins</f>
        <v> </v>
      </c>
      <c r="M201" s="119" t="str">
        <f aca="false">rechne.GesTilg</f>
        <v> </v>
      </c>
      <c r="N201" s="119" t="str">
        <f aca="false">rechne.GesAufwand</f>
        <v> </v>
      </c>
      <c r="O201" s="120"/>
      <c r="P201" s="117" t="str">
        <f aca="false">rechne.AnzMonate</f>
        <v> </v>
      </c>
      <c r="Q201" s="124"/>
      <c r="R201" s="126"/>
      <c r="S201" s="126"/>
      <c r="T201" s="126"/>
      <c r="U201" s="126"/>
      <c r="V201" s="126"/>
      <c r="W201" s="126"/>
      <c r="X201" s="126"/>
      <c r="Y201" s="126"/>
      <c r="Z201" s="126"/>
      <c r="AA201" s="126"/>
      <c r="AB201" s="126"/>
      <c r="AC201" s="126"/>
    </row>
    <row r="202" customFormat="false" ht="12" hidden="false" customHeight="false" outlineLevel="0" collapsed="false">
      <c r="A202" s="116"/>
      <c r="B202" s="116" t="n">
        <f aca="false">zeige.Jahr</f>
        <v>15</v>
      </c>
      <c r="C202" s="117" t="str">
        <f aca="false">zeige.Jahrtxt</f>
        <v> Jahre</v>
      </c>
      <c r="D202" s="116" t="n">
        <f aca="false">zeige.Monat</f>
        <v>4</v>
      </c>
      <c r="E202" s="117" t="str">
        <f aca="false">zeige.Monattxt</f>
        <v> Monate</v>
      </c>
      <c r="F202" s="123" t="n">
        <f aca="false">rechne.Zahlungstermine</f>
        <v>49399</v>
      </c>
      <c r="G202" s="119" t="str">
        <f aca="false">rechne.Restkredit</f>
        <v> </v>
      </c>
      <c r="H202" s="119" t="str">
        <f aca="false">rechne.Zinsen</f>
        <v> </v>
      </c>
      <c r="I202" s="119" t="str">
        <f aca="false">rechne.Tilgung</f>
        <v> </v>
      </c>
      <c r="J202" s="119" t="str">
        <f aca="false">rechne.Betrag</f>
        <v> </v>
      </c>
      <c r="K202" s="119"/>
      <c r="L202" s="119" t="str">
        <f aca="false">rechne.GesZins</f>
        <v> </v>
      </c>
      <c r="M202" s="119" t="str">
        <f aca="false">rechne.GesTilg</f>
        <v> </v>
      </c>
      <c r="N202" s="119" t="str">
        <f aca="false">rechne.GesAufwand</f>
        <v> </v>
      </c>
      <c r="O202" s="120"/>
      <c r="P202" s="117" t="str">
        <f aca="false">rechne.AnzMonate</f>
        <v> </v>
      </c>
      <c r="Q202" s="124"/>
      <c r="R202" s="126"/>
      <c r="S202" s="126"/>
      <c r="T202" s="126"/>
      <c r="U202" s="126"/>
      <c r="V202" s="126"/>
      <c r="W202" s="126"/>
      <c r="X202" s="126"/>
      <c r="Y202" s="126"/>
      <c r="Z202" s="126"/>
      <c r="AA202" s="126"/>
      <c r="AB202" s="126"/>
      <c r="AC202" s="126"/>
    </row>
    <row r="203" customFormat="false" ht="12" hidden="false" customHeight="false" outlineLevel="0" collapsed="false">
      <c r="A203" s="116"/>
      <c r="B203" s="116" t="n">
        <f aca="false">zeige.Jahr</f>
        <v>15</v>
      </c>
      <c r="C203" s="117" t="str">
        <f aca="false">zeige.Jahrtxt</f>
        <v> Jahre</v>
      </c>
      <c r="D203" s="116" t="n">
        <f aca="false">zeige.Monat</f>
        <v>5</v>
      </c>
      <c r="E203" s="117" t="str">
        <f aca="false">zeige.Monattxt</f>
        <v> Monate</v>
      </c>
      <c r="F203" s="123" t="n">
        <f aca="false">rechne.Zahlungstermine</f>
        <v>49429</v>
      </c>
      <c r="G203" s="119" t="str">
        <f aca="false">rechne.Restkredit</f>
        <v> </v>
      </c>
      <c r="H203" s="119" t="str">
        <f aca="false">rechne.Zinsen</f>
        <v> </v>
      </c>
      <c r="I203" s="119" t="str">
        <f aca="false">rechne.Tilgung</f>
        <v> </v>
      </c>
      <c r="J203" s="119" t="str">
        <f aca="false">rechne.Betrag</f>
        <v> </v>
      </c>
      <c r="K203" s="119"/>
      <c r="L203" s="119" t="str">
        <f aca="false">rechne.GesZins</f>
        <v> </v>
      </c>
      <c r="M203" s="119" t="str">
        <f aca="false">rechne.GesTilg</f>
        <v> </v>
      </c>
      <c r="N203" s="119" t="str">
        <f aca="false">rechne.GesAufwand</f>
        <v> </v>
      </c>
      <c r="O203" s="120"/>
      <c r="P203" s="117" t="str">
        <f aca="false">rechne.AnzMonate</f>
        <v> </v>
      </c>
      <c r="Q203" s="124"/>
      <c r="R203" s="126"/>
      <c r="S203" s="126"/>
      <c r="T203" s="126"/>
      <c r="U203" s="126"/>
      <c r="V203" s="126"/>
      <c r="W203" s="126"/>
      <c r="X203" s="126"/>
      <c r="Y203" s="126"/>
      <c r="Z203" s="126"/>
      <c r="AA203" s="126"/>
      <c r="AB203" s="126"/>
      <c r="AC203" s="126"/>
    </row>
    <row r="204" customFormat="false" ht="12" hidden="false" customHeight="false" outlineLevel="0" collapsed="false">
      <c r="A204" s="116"/>
      <c r="B204" s="116" t="n">
        <f aca="false">zeige.Jahr</f>
        <v>15</v>
      </c>
      <c r="C204" s="117" t="str">
        <f aca="false">zeige.Jahrtxt</f>
        <v> Jahre</v>
      </c>
      <c r="D204" s="116" t="n">
        <f aca="false">zeige.Monat</f>
        <v>6</v>
      </c>
      <c r="E204" s="117" t="str">
        <f aca="false">zeige.Monattxt</f>
        <v> Monate</v>
      </c>
      <c r="F204" s="123" t="n">
        <f aca="false">rechne.Zahlungstermine</f>
        <v>49460</v>
      </c>
      <c r="G204" s="119" t="str">
        <f aca="false">rechne.Restkredit</f>
        <v> </v>
      </c>
      <c r="H204" s="119" t="str">
        <f aca="false">rechne.Zinsen</f>
        <v> </v>
      </c>
      <c r="I204" s="119" t="str">
        <f aca="false">rechne.Tilgung</f>
        <v> </v>
      </c>
      <c r="J204" s="119" t="str">
        <f aca="false">rechne.Betrag</f>
        <v> </v>
      </c>
      <c r="K204" s="119"/>
      <c r="L204" s="119" t="str">
        <f aca="false">rechne.GesZins</f>
        <v> </v>
      </c>
      <c r="M204" s="119" t="str">
        <f aca="false">rechne.GesTilg</f>
        <v> </v>
      </c>
      <c r="N204" s="119" t="str">
        <f aca="false">rechne.GesAufwand</f>
        <v> </v>
      </c>
      <c r="O204" s="120"/>
      <c r="P204" s="117" t="str">
        <f aca="false">rechne.AnzMonate</f>
        <v> </v>
      </c>
      <c r="Q204" s="124"/>
      <c r="R204" s="126"/>
      <c r="S204" s="126"/>
      <c r="T204" s="126"/>
      <c r="U204" s="126"/>
      <c r="V204" s="126"/>
      <c r="W204" s="126"/>
      <c r="X204" s="126"/>
      <c r="Y204" s="126"/>
      <c r="Z204" s="126"/>
      <c r="AA204" s="126"/>
      <c r="AB204" s="126"/>
      <c r="AC204" s="126"/>
    </row>
    <row r="205" customFormat="false" ht="12" hidden="false" customHeight="false" outlineLevel="0" collapsed="false">
      <c r="A205" s="116"/>
      <c r="B205" s="116" t="n">
        <f aca="false">zeige.Jahr</f>
        <v>15</v>
      </c>
      <c r="C205" s="117" t="str">
        <f aca="false">zeige.Jahrtxt</f>
        <v> Jahre</v>
      </c>
      <c r="D205" s="116" t="n">
        <f aca="false">zeige.Monat</f>
        <v>7</v>
      </c>
      <c r="E205" s="117" t="str">
        <f aca="false">zeige.Monattxt</f>
        <v> Monate</v>
      </c>
      <c r="F205" s="123" t="n">
        <f aca="false">rechne.Zahlungstermine</f>
        <v>49490</v>
      </c>
      <c r="G205" s="119" t="str">
        <f aca="false">rechne.Restkredit</f>
        <v> </v>
      </c>
      <c r="H205" s="119" t="str">
        <f aca="false">rechne.Zinsen</f>
        <v> </v>
      </c>
      <c r="I205" s="119" t="str">
        <f aca="false">rechne.Tilgung</f>
        <v> </v>
      </c>
      <c r="J205" s="119" t="str">
        <f aca="false">rechne.Betrag</f>
        <v> </v>
      </c>
      <c r="K205" s="119"/>
      <c r="L205" s="119" t="str">
        <f aca="false">rechne.GesZins</f>
        <v> </v>
      </c>
      <c r="M205" s="119" t="str">
        <f aca="false">rechne.GesTilg</f>
        <v> </v>
      </c>
      <c r="N205" s="119" t="str">
        <f aca="false">rechne.GesAufwand</f>
        <v> </v>
      </c>
      <c r="O205" s="120"/>
      <c r="P205" s="117" t="str">
        <f aca="false">rechne.AnzMonate</f>
        <v> </v>
      </c>
      <c r="Q205" s="124"/>
      <c r="R205" s="126"/>
      <c r="S205" s="126"/>
      <c r="T205" s="126"/>
      <c r="U205" s="126"/>
      <c r="V205" s="126"/>
      <c r="W205" s="126"/>
      <c r="X205" s="126"/>
      <c r="Y205" s="126"/>
      <c r="Z205" s="126"/>
      <c r="AA205" s="126"/>
      <c r="AB205" s="126"/>
      <c r="AC205" s="126"/>
    </row>
    <row r="206" customFormat="false" ht="12" hidden="false" customHeight="false" outlineLevel="0" collapsed="false">
      <c r="A206" s="116"/>
      <c r="B206" s="116" t="n">
        <f aca="false">zeige.Jahr</f>
        <v>15</v>
      </c>
      <c r="C206" s="117" t="str">
        <f aca="false">zeige.Jahrtxt</f>
        <v> Jahre</v>
      </c>
      <c r="D206" s="116" t="n">
        <f aca="false">zeige.Monat</f>
        <v>8</v>
      </c>
      <c r="E206" s="117" t="str">
        <f aca="false">zeige.Monattxt</f>
        <v> Monate</v>
      </c>
      <c r="F206" s="123" t="n">
        <f aca="false">rechne.Zahlungstermine</f>
        <v>49521</v>
      </c>
      <c r="G206" s="119" t="str">
        <f aca="false">rechne.Restkredit</f>
        <v> </v>
      </c>
      <c r="H206" s="119" t="str">
        <f aca="false">rechne.Zinsen</f>
        <v> </v>
      </c>
      <c r="I206" s="119" t="str">
        <f aca="false">rechne.Tilgung</f>
        <v> </v>
      </c>
      <c r="J206" s="119" t="str">
        <f aca="false">rechne.Betrag</f>
        <v> </v>
      </c>
      <c r="K206" s="119"/>
      <c r="L206" s="119" t="str">
        <f aca="false">rechne.GesZins</f>
        <v> </v>
      </c>
      <c r="M206" s="119" t="str">
        <f aca="false">rechne.GesTilg</f>
        <v> </v>
      </c>
      <c r="N206" s="119" t="str">
        <f aca="false">rechne.GesAufwand</f>
        <v> </v>
      </c>
      <c r="O206" s="120"/>
      <c r="P206" s="117" t="str">
        <f aca="false">rechne.AnzMonate</f>
        <v> </v>
      </c>
      <c r="Q206" s="124"/>
      <c r="R206" s="126"/>
      <c r="S206" s="126"/>
      <c r="T206" s="126"/>
      <c r="U206" s="126"/>
      <c r="V206" s="126"/>
      <c r="W206" s="126"/>
      <c r="X206" s="126"/>
      <c r="Y206" s="126"/>
      <c r="Z206" s="126"/>
      <c r="AA206" s="126"/>
      <c r="AB206" s="126"/>
      <c r="AC206" s="126"/>
    </row>
    <row r="207" customFormat="false" ht="12" hidden="false" customHeight="false" outlineLevel="0" collapsed="false">
      <c r="A207" s="116"/>
      <c r="B207" s="116" t="n">
        <f aca="false">zeige.Jahr</f>
        <v>15</v>
      </c>
      <c r="C207" s="117" t="str">
        <f aca="false">zeige.Jahrtxt</f>
        <v> Jahre</v>
      </c>
      <c r="D207" s="116" t="n">
        <f aca="false">zeige.Monat</f>
        <v>9</v>
      </c>
      <c r="E207" s="117" t="str">
        <f aca="false">zeige.Monattxt</f>
        <v> Monate</v>
      </c>
      <c r="F207" s="123" t="n">
        <f aca="false">rechne.Zahlungstermine</f>
        <v>49552</v>
      </c>
      <c r="G207" s="119" t="str">
        <f aca="false">rechne.Restkredit</f>
        <v> </v>
      </c>
      <c r="H207" s="119" t="str">
        <f aca="false">rechne.Zinsen</f>
        <v> </v>
      </c>
      <c r="I207" s="119" t="str">
        <f aca="false">rechne.Tilgung</f>
        <v> </v>
      </c>
      <c r="J207" s="119" t="str">
        <f aca="false">rechne.Betrag</f>
        <v> </v>
      </c>
      <c r="K207" s="119"/>
      <c r="L207" s="119" t="str">
        <f aca="false">rechne.GesZins</f>
        <v> </v>
      </c>
      <c r="M207" s="119" t="str">
        <f aca="false">rechne.GesTilg</f>
        <v> </v>
      </c>
      <c r="N207" s="119" t="str">
        <f aca="false">rechne.GesAufwand</f>
        <v> </v>
      </c>
      <c r="O207" s="120"/>
      <c r="P207" s="117" t="str">
        <f aca="false">rechne.AnzMonate</f>
        <v> </v>
      </c>
      <c r="Q207" s="124"/>
      <c r="R207" s="126"/>
      <c r="S207" s="126"/>
      <c r="T207" s="126"/>
      <c r="U207" s="126"/>
      <c r="V207" s="126"/>
      <c r="W207" s="126"/>
      <c r="X207" s="126"/>
      <c r="Y207" s="126"/>
      <c r="Z207" s="126"/>
      <c r="AA207" s="126"/>
      <c r="AB207" s="126"/>
      <c r="AC207" s="126"/>
    </row>
    <row r="208" customFormat="false" ht="12" hidden="false" customHeight="false" outlineLevel="0" collapsed="false">
      <c r="A208" s="116"/>
      <c r="B208" s="116" t="n">
        <f aca="false">zeige.Jahr</f>
        <v>15</v>
      </c>
      <c r="C208" s="117" t="str">
        <f aca="false">zeige.Jahrtxt</f>
        <v> Jahre</v>
      </c>
      <c r="D208" s="116" t="n">
        <f aca="false">zeige.Monat</f>
        <v>10</v>
      </c>
      <c r="E208" s="117" t="str">
        <f aca="false">zeige.Monattxt</f>
        <v> Monate</v>
      </c>
      <c r="F208" s="123" t="n">
        <f aca="false">rechne.Zahlungstermine</f>
        <v>49582</v>
      </c>
      <c r="G208" s="119" t="str">
        <f aca="false">rechne.Restkredit</f>
        <v> </v>
      </c>
      <c r="H208" s="119" t="str">
        <f aca="false">rechne.Zinsen</f>
        <v> </v>
      </c>
      <c r="I208" s="119" t="str">
        <f aca="false">rechne.Tilgung</f>
        <v> </v>
      </c>
      <c r="J208" s="119" t="str">
        <f aca="false">rechne.Betrag</f>
        <v> </v>
      </c>
      <c r="K208" s="119"/>
      <c r="L208" s="119" t="str">
        <f aca="false">rechne.GesZins</f>
        <v> </v>
      </c>
      <c r="M208" s="119" t="str">
        <f aca="false">rechne.GesTilg</f>
        <v> </v>
      </c>
      <c r="N208" s="119" t="str">
        <f aca="false">rechne.GesAufwand</f>
        <v> </v>
      </c>
      <c r="O208" s="120"/>
      <c r="P208" s="117" t="str">
        <f aca="false">rechne.AnzMonate</f>
        <v> </v>
      </c>
      <c r="Q208" s="124"/>
      <c r="R208" s="126"/>
      <c r="S208" s="126"/>
      <c r="T208" s="126"/>
      <c r="U208" s="126"/>
      <c r="V208" s="126"/>
      <c r="W208" s="126"/>
      <c r="X208" s="126"/>
      <c r="Y208" s="126"/>
      <c r="Z208" s="126"/>
      <c r="AA208" s="126"/>
      <c r="AB208" s="126"/>
      <c r="AC208" s="126"/>
    </row>
    <row r="209" customFormat="false" ht="12" hidden="false" customHeight="false" outlineLevel="0" collapsed="false">
      <c r="A209" s="116"/>
      <c r="B209" s="116" t="n">
        <f aca="false">zeige.Jahr</f>
        <v>15</v>
      </c>
      <c r="C209" s="117" t="str">
        <f aca="false">zeige.Jahrtxt</f>
        <v> Jahre</v>
      </c>
      <c r="D209" s="116" t="n">
        <f aca="false">zeige.Monat</f>
        <v>11</v>
      </c>
      <c r="E209" s="117" t="str">
        <f aca="false">zeige.Monattxt</f>
        <v> Monate</v>
      </c>
      <c r="F209" s="123" t="n">
        <f aca="false">rechne.Zahlungstermine</f>
        <v>49613</v>
      </c>
      <c r="G209" s="119" t="str">
        <f aca="false">rechne.Restkredit</f>
        <v> </v>
      </c>
      <c r="H209" s="119" t="str">
        <f aca="false">rechne.Zinsen</f>
        <v> </v>
      </c>
      <c r="I209" s="119" t="str">
        <f aca="false">rechne.Tilgung</f>
        <v> </v>
      </c>
      <c r="J209" s="119" t="str">
        <f aca="false">rechne.Betrag</f>
        <v> </v>
      </c>
      <c r="K209" s="119"/>
      <c r="L209" s="119" t="str">
        <f aca="false">rechne.GesZins</f>
        <v> </v>
      </c>
      <c r="M209" s="119" t="str">
        <f aca="false">rechne.GesTilg</f>
        <v> </v>
      </c>
      <c r="N209" s="119" t="str">
        <f aca="false">rechne.GesAufwand</f>
        <v> </v>
      </c>
      <c r="O209" s="120"/>
      <c r="P209" s="117" t="str">
        <f aca="false">rechne.AnzMonate</f>
        <v> </v>
      </c>
      <c r="Q209" s="124"/>
      <c r="R209" s="126"/>
      <c r="S209" s="126"/>
      <c r="T209" s="126"/>
      <c r="U209" s="126"/>
      <c r="V209" s="126"/>
      <c r="W209" s="126"/>
      <c r="X209" s="126"/>
      <c r="Y209" s="126"/>
      <c r="Z209" s="126"/>
      <c r="AA209" s="126"/>
      <c r="AB209" s="126"/>
      <c r="AC209" s="126"/>
    </row>
    <row r="210" customFormat="false" ht="12" hidden="false" customHeight="false" outlineLevel="0" collapsed="false">
      <c r="A210" s="116"/>
      <c r="B210" s="116" t="n">
        <f aca="false">zeige.Jahr</f>
        <v>16</v>
      </c>
      <c r="C210" s="117" t="str">
        <f aca="false">zeige.Jahrtxt</f>
        <v> Jahre</v>
      </c>
      <c r="D210" s="116" t="n">
        <f aca="false">zeige.Monat</f>
        <v>0</v>
      </c>
      <c r="E210" s="117" t="str">
        <f aca="false">zeige.Monattxt</f>
        <v> </v>
      </c>
      <c r="F210" s="123" t="n">
        <f aca="false">rechne.Zahlungstermine</f>
        <v>49643</v>
      </c>
      <c r="G210" s="119" t="str">
        <f aca="false">rechne.Restkredit</f>
        <v> </v>
      </c>
      <c r="H210" s="119" t="str">
        <f aca="false">rechne.Zinsen</f>
        <v> </v>
      </c>
      <c r="I210" s="119" t="str">
        <f aca="false">rechne.Tilgung</f>
        <v> </v>
      </c>
      <c r="J210" s="119" t="str">
        <f aca="false">rechne.Betrag</f>
        <v> </v>
      </c>
      <c r="K210" s="119"/>
      <c r="L210" s="119" t="str">
        <f aca="false">rechne.GesZins</f>
        <v> </v>
      </c>
      <c r="M210" s="119" t="str">
        <f aca="false">rechne.GesTilg</f>
        <v> </v>
      </c>
      <c r="N210" s="119" t="str">
        <f aca="false">rechne.GesAufwand</f>
        <v> </v>
      </c>
      <c r="O210" s="120"/>
      <c r="P210" s="117" t="str">
        <f aca="false">rechne.AnzMonate</f>
        <v> </v>
      </c>
      <c r="Q210" s="124"/>
      <c r="R210" s="126"/>
      <c r="S210" s="126"/>
      <c r="T210" s="126"/>
      <c r="U210" s="126"/>
      <c r="V210" s="126"/>
      <c r="W210" s="126"/>
      <c r="X210" s="126"/>
      <c r="Y210" s="126"/>
      <c r="Z210" s="126"/>
      <c r="AA210" s="126"/>
      <c r="AB210" s="126"/>
      <c r="AC210" s="126"/>
    </row>
  </sheetData>
  <mergeCells count="1">
    <mergeCell ref="I11:J11"/>
  </mergeCells>
  <conditionalFormatting sqref="S190">
    <cfRule type="expression" priority="2" aboveAverage="0" equalAverage="0" bottom="0" percent="0" rank="0" text="" dxfId="0">
      <formula>IF(AND(ISNUMBER($B190),$D190&lt;1,$G$9&lt;&gt;"J"),TRUE(),FALSE())</formula>
    </cfRule>
  </conditionalFormatting>
  <conditionalFormatting sqref="I11:J11">
    <cfRule type="expression" priority="3" aboveAverage="0" equalAverage="0" bottom="0" percent="0" rank="0" text="" dxfId="1">
      <formula>LEFT($G$11,3)="  F"</formula>
    </cfRule>
  </conditionalFormatting>
  <conditionalFormatting sqref="Q14">
    <cfRule type="expression" priority="4" aboveAverage="0" equalAverage="0" bottom="0" percent="0" rank="0" text="" dxfId="2">
      <formula>IF(AND(ISNUMBER($B14),$D14&lt;1,$G$9&lt;&gt;"J"),TRUE(),FALSE())</formula>
    </cfRule>
  </conditionalFormatting>
  <conditionalFormatting sqref="M14">
    <cfRule type="expression" priority="5" aboveAverage="0" equalAverage="0" bottom="0" percent="0" rank="0" text="" dxfId="3">
      <formula>IF(AND(ISNUMBER($B14),$D14&lt;1,$G$9&lt;&gt;"J"),TRUE(),FALSE())</formula>
    </cfRule>
  </conditionalFormatting>
  <conditionalFormatting sqref="L14">
    <cfRule type="expression" priority="6" aboveAverage="0" equalAverage="0" bottom="0" percent="0" rank="0" text="" dxfId="4">
      <formula>IF(AND(ISNUMBER($B14),$D14&lt;1,$G$9&lt;&gt;"J"),TRUE(),FALSE())</formula>
    </cfRule>
  </conditionalFormatting>
  <conditionalFormatting sqref="N14">
    <cfRule type="expression" priority="7" aboveAverage="0" equalAverage="0" bottom="0" percent="0" rank="0" text="" dxfId="5">
      <formula>IF(AND(ISNUMBER($B14),$D14&lt;1,$G$9&lt;&gt;"J"),TRUE(),FALSE())</formula>
    </cfRule>
  </conditionalFormatting>
  <conditionalFormatting sqref="F12:H12">
    <cfRule type="expression" priority="8" aboveAverage="0" equalAverage="0" bottom="0" percent="0" rank="0" text="" dxfId="6">
      <formula>IF($G$12="Tilgung zu gering",TRUE(),FALSE())</formula>
    </cfRule>
  </conditionalFormatting>
  <conditionalFormatting sqref="G13">
    <cfRule type="expression" priority="9" aboveAverage="0" equalAverage="0" bottom="0" percent="0" rank="0" text="" dxfId="7">
      <formula>IF($G$13=$G$12,TRUE(),FALSE())</formula>
    </cfRule>
  </conditionalFormatting>
  <conditionalFormatting sqref="I14">
    <cfRule type="expression" priority="10" aboveAverage="0" equalAverage="0" bottom="0" percent="0" rank="0" text="" dxfId="8">
      <formula>IF(AND(ISNUMBER(G13),ISNUMBER(G12),G12&lt;&gt;G13),TRUE(),FALSE())</formula>
    </cfRule>
  </conditionalFormatting>
  <conditionalFormatting sqref="G8">
    <cfRule type="expression" priority="11" aboveAverage="0" equalAverage="0" bottom="0" percent="0" rank="0" text="" dxfId="9">
      <formula>IF(ISNUMBER($G$7),1,FALSE())</formula>
    </cfRule>
  </conditionalFormatting>
  <conditionalFormatting sqref="G7:G8">
    <cfRule type="expression" priority="12" aboveAverage="0" equalAverage="0" bottom="0" percent="0" rank="0" text="" dxfId="10">
      <formula>IF(ISNUMBER($G$6),TRUE(),FALSE())</formula>
    </cfRule>
  </conditionalFormatting>
  <conditionalFormatting sqref="A32:Q210 A19:AC31">
    <cfRule type="expression" priority="13" aboveAverage="0" equalAverage="0" bottom="0" percent="0" rank="0" text="" dxfId="11">
      <formula>IF(AND(ISNUMBER($B19),$D19&lt;1,$G$9&lt;&gt;"J"),TRUE(),FALSE())</formula>
    </cfRule>
  </conditionalFormatting>
  <dataValidations count="2">
    <dataValidation allowBlank="true" errorStyle="stop" operator="between" showDropDown="false" showErrorMessage="true" showInputMessage="true" sqref="G9" type="list">
      <formula1>Hitab!$K$1:$K$4</formula1>
      <formula2>0</formula2>
    </dataValidation>
    <dataValidation allowBlank="true" errorStyle="stop" operator="between" showDropDown="false" showErrorMessage="true" showInputMessage="true" sqref="N12" type="list">
      <formula1>Hitab!$J$1:$J$2</formula1>
      <formula2>0</formula2>
    </dataValidation>
  </dataValidations>
  <printOptions headings="false" gridLines="false" gridLinesSet="true" horizontalCentered="true" verticalCentered="true"/>
  <pageMargins left="0.7875" right="0.7875" top="1.96875" bottom="0.984722222222222" header="0.511805555555556" footer="0.511805555555556"/>
  <pageSetup paperSize="9" scale="100" fitToWidth="1" fitToHeight="1" pageOrder="downThenOver" orientation="landscape" blackAndWhite="false" draft="false" cellComments="none" horizontalDpi="300" verticalDpi="300" copies="1"/>
  <headerFooter differentFirst="false" differentOddEven="false">
    <oddHeader>&amp;L&amp;"BernhardFashion BT,Bold"&amp;16&amp;UWilfried Schäfer                                                                                                                                 &amp;C&amp;14Kredit- und Tilgungsberechnungen für alle Fälle</oddHeader>
    <oddFooter>&amp;LDatum &amp;D &amp;T&amp;C&amp;"Arial Rounded MT Bold,Bold Italic"&amp;12Microsoft Excel 5.0, die Tabellenkalkulation !!! &amp;RSeite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92"/>
  <sheetViews>
    <sheetView showFormulas="false" showGridLines="false" showRowColHeaders="true" showZeros="true" rightToLeft="false" tabSelected="false" showOutlineSymbols="true" defaultGridColor="true" view="normal" topLeftCell="A25" colorId="64" zoomScale="110" zoomScaleNormal="110" zoomScalePageLayoutView="100" workbookViewId="0">
      <selection pane="topLeft" activeCell="B41" activeCellId="0" sqref="B41"/>
    </sheetView>
  </sheetViews>
  <sheetFormatPr defaultColWidth="10.72265625" defaultRowHeight="12" customHeight="false" zeroHeight="false" outlineLevelRow="0" outlineLevelCol="0"/>
  <cols>
    <col collapsed="false" customWidth="true" hidden="false" outlineLevel="0" max="1" min="1" style="127" width="5"/>
  </cols>
  <sheetData>
    <row r="1" customFormat="false" ht="22.05" hidden="false" customHeight="false" outlineLevel="0" collapsed="false">
      <c r="B1" s="128" t="s">
        <v>31</v>
      </c>
    </row>
    <row r="3" customFormat="false" ht="12" hidden="false" customHeight="false" outlineLevel="0" collapsed="false">
      <c r="B3" s="127" t="s">
        <v>32</v>
      </c>
    </row>
    <row r="4" customFormat="false" ht="12" hidden="false" customHeight="false" outlineLevel="0" collapsed="false">
      <c r="B4" s="129"/>
    </row>
    <row r="5" customFormat="false" ht="12" hidden="false" customHeight="false" outlineLevel="0" collapsed="false">
      <c r="B5" s="129"/>
    </row>
    <row r="6" customFormat="false" ht="33.75" hidden="false" customHeight="true" outlineLevel="0" collapsed="false"/>
    <row r="7" customFormat="false" ht="12" hidden="false" customHeight="false" outlineLevel="0" collapsed="false">
      <c r="B7" s="127" t="s">
        <v>33</v>
      </c>
    </row>
    <row r="9" customFormat="false" ht="12" hidden="false" customHeight="false" outlineLevel="0" collapsed="false">
      <c r="B9" s="127" t="s">
        <v>34</v>
      </c>
    </row>
    <row r="10" customFormat="false" ht="12" hidden="false" customHeight="false" outlineLevel="0" collapsed="false">
      <c r="B10" s="129"/>
    </row>
    <row r="11" customFormat="false" ht="12" hidden="false" customHeight="false" outlineLevel="0" collapsed="false">
      <c r="B11" s="129" t="s">
        <v>35</v>
      </c>
    </row>
    <row r="12" customFormat="false" ht="12" hidden="false" customHeight="false" outlineLevel="0" collapsed="false">
      <c r="B12" s="129" t="s">
        <v>24</v>
      </c>
    </row>
    <row r="13" customFormat="false" ht="13.45" hidden="false" customHeight="false" outlineLevel="0" collapsed="false">
      <c r="B13" s="130" t="s">
        <v>36</v>
      </c>
    </row>
    <row r="15" customFormat="false" ht="12" hidden="false" customHeight="false" outlineLevel="0" collapsed="false">
      <c r="B15" s="127" t="s">
        <v>37</v>
      </c>
    </row>
    <row r="17" customFormat="false" ht="17.25" hidden="false" customHeight="false" outlineLevel="0" collapsed="false">
      <c r="B17" s="131" t="s">
        <v>38</v>
      </c>
    </row>
    <row r="19" customFormat="false" ht="12" hidden="false" customHeight="false" outlineLevel="0" collapsed="false">
      <c r="B19" s="127" t="s">
        <v>39</v>
      </c>
    </row>
    <row r="21" customFormat="false" ht="17.25" hidden="false" customHeight="false" outlineLevel="0" collapsed="false">
      <c r="B21" s="131" t="s">
        <v>40</v>
      </c>
    </row>
    <row r="23" customFormat="false" ht="12" hidden="false" customHeight="false" outlineLevel="0" collapsed="false">
      <c r="B23" s="127" t="s">
        <v>41</v>
      </c>
    </row>
    <row r="24" customFormat="false" ht="12" hidden="false" customHeight="false" outlineLevel="0" collapsed="false">
      <c r="B24" s="129"/>
    </row>
    <row r="25" customFormat="false" ht="18.75" hidden="false" customHeight="true" outlineLevel="0" collapsed="false">
      <c r="B25" s="129"/>
    </row>
    <row r="26" customFormat="false" ht="18.75" hidden="false" customHeight="true" outlineLevel="0" collapsed="false">
      <c r="B26" s="129"/>
    </row>
    <row r="27" customFormat="false" ht="18.75" hidden="false" customHeight="true" outlineLevel="0" collapsed="false">
      <c r="B27" s="129"/>
    </row>
    <row r="28" customFormat="false" ht="18.75" hidden="false" customHeight="true" outlineLevel="0" collapsed="false"/>
    <row r="29" customFormat="false" ht="18.75" hidden="false" customHeight="true" outlineLevel="0" collapsed="false">
      <c r="B29" s="127" t="s">
        <v>42</v>
      </c>
    </row>
    <row r="30" customFormat="false" ht="80.25" hidden="false" customHeight="true" outlineLevel="0" collapsed="false">
      <c r="B30" s="129"/>
      <c r="N30" s="127" t="n">
        <f aca="false">((3300/10000)*(24/(60+1)*100))</f>
        <v>12.9836065573771</v>
      </c>
      <c r="O30" s="127" t="n">
        <f aca="false">((3000/10000)*(24/(60+1)*100))</f>
        <v>11.8032786885246</v>
      </c>
    </row>
    <row r="31" customFormat="false" ht="17.25" hidden="false" customHeight="true" outlineLevel="0" collapsed="false">
      <c r="B31" s="129" t="s">
        <v>43</v>
      </c>
    </row>
    <row r="32" customFormat="false" ht="34.5" hidden="false" customHeight="true" outlineLevel="0" collapsed="false">
      <c r="B32" s="129"/>
      <c r="N32" s="127" t="n">
        <f aca="false">EFFECT(0.0197,12)*100</f>
        <v>1.98788515574271</v>
      </c>
    </row>
    <row r="33" customFormat="false" ht="25.5" hidden="false" customHeight="true" outlineLevel="0" collapsed="false"/>
    <row r="34" customFormat="false" ht="25.5" hidden="false" customHeight="true" outlineLevel="0" collapsed="false">
      <c r="B34" s="127" t="s">
        <v>44</v>
      </c>
    </row>
    <row r="35" customFormat="false" ht="25.5" hidden="false" customHeight="true" outlineLevel="0" collapsed="false"/>
    <row r="36" customFormat="false" ht="12" hidden="false" customHeight="false" outlineLevel="0" collapsed="false">
      <c r="B36" s="127" t="s">
        <v>45</v>
      </c>
    </row>
    <row r="38" customFormat="false" ht="22.05" hidden="false" customHeight="false" outlineLevel="0" collapsed="false">
      <c r="B38" s="128" t="s">
        <v>46</v>
      </c>
    </row>
    <row r="40" customFormat="false" ht="13.45" hidden="false" customHeight="false" outlineLevel="0" collapsed="false">
      <c r="B40" s="132" t="s">
        <v>47</v>
      </c>
    </row>
    <row r="41" customFormat="false" ht="45.75" hidden="false" customHeight="true" outlineLevel="0" collapsed="false">
      <c r="B41" s="129"/>
    </row>
    <row r="42" customFormat="false" ht="45.75" hidden="false" customHeight="true" outlineLevel="0" collapsed="false">
      <c r="B42" s="129"/>
    </row>
    <row r="43" customFormat="false" ht="45.75" hidden="false" customHeight="true" outlineLevel="0" collapsed="false"/>
    <row r="44" customFormat="false" ht="45.75" hidden="false" customHeight="true" outlineLevel="0" collapsed="false">
      <c r="B44" s="127" t="s">
        <v>48</v>
      </c>
    </row>
    <row r="45" customFormat="false" ht="45.75" hidden="false" customHeight="true" outlineLevel="0" collapsed="false">
      <c r="B45" s="129"/>
    </row>
    <row r="46" customFormat="false" ht="45.75" hidden="false" customHeight="true" outlineLevel="0" collapsed="false">
      <c r="B46" s="129"/>
    </row>
    <row r="47" customFormat="false" ht="45.75" hidden="false" customHeight="true" outlineLevel="0" collapsed="false">
      <c r="B47" s="129"/>
    </row>
    <row r="48" customFormat="false" ht="45.75" hidden="false" customHeight="true" outlineLevel="0" collapsed="false">
      <c r="B48" s="129"/>
    </row>
    <row r="49" customFormat="false" ht="45.75" hidden="false" customHeight="true" outlineLevel="0" collapsed="false">
      <c r="B49" s="129"/>
    </row>
    <row r="50" customFormat="false" ht="45.75" hidden="false" customHeight="true" outlineLevel="0" collapsed="false">
      <c r="B50" s="129"/>
    </row>
    <row r="51" customFormat="false" ht="45.75" hidden="false" customHeight="true" outlineLevel="0" collapsed="false">
      <c r="B51" s="129"/>
    </row>
    <row r="52" customFormat="false" ht="45.75" hidden="false" customHeight="true" outlineLevel="0" collapsed="false"/>
    <row r="53" customFormat="false" ht="12" hidden="false" customHeight="false" outlineLevel="0" collapsed="false">
      <c r="B53" s="127" t="s">
        <v>49</v>
      </c>
    </row>
    <row r="54" customFormat="false" ht="12" hidden="false" customHeight="false" outlineLevel="0" collapsed="false">
      <c r="B54" s="129"/>
    </row>
    <row r="55" customFormat="false" ht="23.25" hidden="false" customHeight="true" outlineLevel="0" collapsed="false">
      <c r="B55" s="129"/>
    </row>
    <row r="56" customFormat="false" ht="23.25" hidden="false" customHeight="true" outlineLevel="0" collapsed="false"/>
    <row r="57" customFormat="false" ht="12" hidden="false" customHeight="false" outlineLevel="0" collapsed="false">
      <c r="B57" s="127" t="s">
        <v>50</v>
      </c>
    </row>
    <row r="59" customFormat="false" ht="12" hidden="false" customHeight="false" outlineLevel="0" collapsed="false">
      <c r="B59" s="127" t="s">
        <v>51</v>
      </c>
    </row>
    <row r="60" customFormat="false" ht="12" hidden="false" customHeight="false" outlineLevel="0" collapsed="false">
      <c r="B60" s="127" t="s">
        <v>52</v>
      </c>
    </row>
    <row r="61" customFormat="false" ht="12" hidden="false" customHeight="false" outlineLevel="0" collapsed="false">
      <c r="B61" s="129"/>
    </row>
    <row r="62" customFormat="false" ht="12" hidden="false" customHeight="false" outlineLevel="0" collapsed="false">
      <c r="B62" s="129"/>
    </row>
    <row r="63" customFormat="false" ht="50.25" hidden="false" customHeight="true" outlineLevel="0" collapsed="false"/>
    <row r="64" customFormat="false" ht="42" hidden="false" customHeight="true" outlineLevel="0" collapsed="false">
      <c r="B64" s="128" t="s">
        <v>53</v>
      </c>
    </row>
    <row r="66" customFormat="false" ht="12" hidden="false" customHeight="false" outlineLevel="0" collapsed="false">
      <c r="B66" s="127" t="s">
        <v>54</v>
      </c>
    </row>
    <row r="68" customFormat="false" ht="12.75" hidden="false" customHeight="false" outlineLevel="0" collapsed="false">
      <c r="B68" s="127" t="s">
        <v>55</v>
      </c>
    </row>
    <row r="70" customFormat="false" ht="12" hidden="false" customHeight="false" outlineLevel="0" collapsed="false">
      <c r="B70" s="127" t="s">
        <v>56</v>
      </c>
    </row>
    <row r="72" customFormat="false" ht="37.3" hidden="false" customHeight="false" outlineLevel="0" collapsed="false">
      <c r="B72" s="133" t="s">
        <v>57</v>
      </c>
      <c r="C72" s="134" t="s">
        <v>58</v>
      </c>
      <c r="D72" s="134" t="s">
        <v>59</v>
      </c>
    </row>
    <row r="73" customFormat="false" ht="73" hidden="false" customHeight="false" outlineLevel="0" collapsed="false">
      <c r="B73" s="133" t="s">
        <v>60</v>
      </c>
      <c r="C73" s="134" t="s">
        <v>58</v>
      </c>
      <c r="D73" s="134" t="s">
        <v>61</v>
      </c>
    </row>
    <row r="74" customFormat="false" ht="24.75" hidden="false" customHeight="false" outlineLevel="0" collapsed="false">
      <c r="B74" s="133" t="s">
        <v>62</v>
      </c>
      <c r="C74" s="134" t="s">
        <v>58</v>
      </c>
      <c r="D74" s="134" t="s">
        <v>63</v>
      </c>
    </row>
    <row r="75" customFormat="false" ht="37.3" hidden="false" customHeight="false" outlineLevel="0" collapsed="false">
      <c r="B75" s="133" t="s">
        <v>64</v>
      </c>
      <c r="C75" s="134" t="s">
        <v>58</v>
      </c>
      <c r="D75" s="134" t="s">
        <v>65</v>
      </c>
    </row>
    <row r="77" customFormat="false" ht="12.75" hidden="false" customHeight="false" outlineLevel="0" collapsed="false">
      <c r="B77" s="127" t="s">
        <v>66</v>
      </c>
    </row>
    <row r="78" customFormat="false" ht="12" hidden="false" customHeight="false" outlineLevel="0" collapsed="false">
      <c r="B78" s="129"/>
    </row>
    <row r="79" customFormat="false" ht="34.5" hidden="false" customHeight="true" outlineLevel="0" collapsed="false">
      <c r="B79" s="129"/>
    </row>
    <row r="80" customFormat="false" ht="34.5" hidden="false" customHeight="true" outlineLevel="0" collapsed="false">
      <c r="B80" s="129"/>
    </row>
    <row r="81" customFormat="false" ht="34.5" hidden="false" customHeight="true" outlineLevel="0" collapsed="false">
      <c r="B81" s="129"/>
    </row>
    <row r="82" customFormat="false" ht="34.5" hidden="false" customHeight="true" outlineLevel="0" collapsed="false">
      <c r="B82" s="129"/>
    </row>
    <row r="83" customFormat="false" ht="34.5" hidden="false" customHeight="true" outlineLevel="0" collapsed="false">
      <c r="B83" s="129"/>
    </row>
    <row r="84" customFormat="false" ht="34.5" hidden="false" customHeight="true" outlineLevel="0" collapsed="false">
      <c r="B84" s="129"/>
    </row>
    <row r="85" customFormat="false" ht="34.5" hidden="false" customHeight="true" outlineLevel="0" collapsed="false">
      <c r="B85" s="129"/>
    </row>
    <row r="86" customFormat="false" ht="34.5" hidden="false" customHeight="true" outlineLevel="0" collapsed="false">
      <c r="B86" s="129"/>
    </row>
    <row r="87" customFormat="false" ht="34.5" hidden="false" customHeight="true" outlineLevel="0" collapsed="false"/>
    <row r="88" customFormat="false" ht="12.75" hidden="false" customHeight="false" outlineLevel="0" collapsed="false">
      <c r="B88" s="127" t="s">
        <v>67</v>
      </c>
    </row>
    <row r="89" customFormat="false" ht="12" hidden="false" customHeight="false" outlineLevel="0" collapsed="false">
      <c r="B89" s="129"/>
    </row>
    <row r="90" customFormat="false" ht="12" hidden="false" customHeight="false" outlineLevel="0" collapsed="false">
      <c r="B90" s="129"/>
    </row>
    <row r="91" customFormat="false" ht="27.75" hidden="false" customHeight="true" outlineLevel="0" collapsed="false"/>
    <row r="92" customFormat="false" ht="12.75" hidden="false" customHeight="false" outlineLevel="0" collapsed="false">
      <c r="B92" s="127" t="s">
        <v>68</v>
      </c>
    </row>
    <row r="94" customFormat="false" ht="13.45" hidden="false" customHeight="false" outlineLevel="0" collapsed="false">
      <c r="B94" s="127" t="s">
        <v>69</v>
      </c>
    </row>
    <row r="95" customFormat="false" ht="12" hidden="false" customHeight="false" outlineLevel="0" collapsed="false">
      <c r="B95" s="129"/>
    </row>
    <row r="96" customFormat="false" ht="12" hidden="false" customHeight="false" outlineLevel="0" collapsed="false">
      <c r="B96" s="129"/>
    </row>
    <row r="97" customFormat="false" ht="24" hidden="false" customHeight="true" outlineLevel="0" collapsed="false"/>
    <row r="98" customFormat="false" ht="13.45" hidden="false" customHeight="false" outlineLevel="0" collapsed="false">
      <c r="B98" s="127" t="s">
        <v>70</v>
      </c>
    </row>
    <row r="99" customFormat="false" ht="12" hidden="false" customHeight="false" outlineLevel="0" collapsed="false">
      <c r="B99" s="129"/>
    </row>
    <row r="100" customFormat="false" ht="12" hidden="false" customHeight="false" outlineLevel="0" collapsed="false">
      <c r="B100" s="129"/>
    </row>
    <row r="101" customFormat="false" ht="32.25" hidden="false" customHeight="true" outlineLevel="0" collapsed="false"/>
    <row r="102" customFormat="false" ht="13.45" hidden="false" customHeight="false" outlineLevel="0" collapsed="false">
      <c r="B102" s="132" t="s">
        <v>71</v>
      </c>
    </row>
    <row r="104" customFormat="false" ht="12" hidden="false" customHeight="false" outlineLevel="0" collapsed="false">
      <c r="B104" s="127" t="s">
        <v>72</v>
      </c>
    </row>
    <row r="106" customFormat="false" ht="22.05" hidden="false" customHeight="false" outlineLevel="0" collapsed="false">
      <c r="B106" s="128" t="s">
        <v>73</v>
      </c>
    </row>
    <row r="108" customFormat="false" ht="12" hidden="false" customHeight="false" outlineLevel="0" collapsed="false">
      <c r="B108" s="127" t="s">
        <v>74</v>
      </c>
    </row>
    <row r="110" customFormat="false" ht="22.05" hidden="false" customHeight="false" outlineLevel="0" collapsed="false">
      <c r="B110" s="128" t="s">
        <v>75</v>
      </c>
    </row>
    <row r="112" customFormat="false" ht="13.45" hidden="false" customHeight="false" outlineLevel="0" collapsed="false">
      <c r="B112" s="132" t="s">
        <v>76</v>
      </c>
    </row>
    <row r="114" customFormat="false" ht="12" hidden="false" customHeight="false" outlineLevel="0" collapsed="false">
      <c r="B114" s="127" t="s">
        <v>77</v>
      </c>
    </row>
    <row r="116" customFormat="false" ht="12" hidden="false" customHeight="false" outlineLevel="0" collapsed="false">
      <c r="B116" s="127" t="s">
        <v>78</v>
      </c>
    </row>
    <row r="118" customFormat="false" ht="12" hidden="false" customHeight="false" outlineLevel="0" collapsed="false">
      <c r="B118" s="127" t="s">
        <v>79</v>
      </c>
    </row>
    <row r="120" customFormat="false" ht="37.5" hidden="false" customHeight="true" outlineLevel="0" collapsed="false">
      <c r="B120" s="127" t="s">
        <v>80</v>
      </c>
    </row>
    <row r="121" customFormat="false" ht="37.5" hidden="false" customHeight="true" outlineLevel="0" collapsed="false">
      <c r="B121" s="127" t="s">
        <v>81</v>
      </c>
    </row>
    <row r="122" customFormat="false" ht="37.5" hidden="false" customHeight="true" outlineLevel="0" collapsed="false">
      <c r="B122" s="127" t="s">
        <v>82</v>
      </c>
    </row>
    <row r="123" customFormat="false" ht="37.5" hidden="false" customHeight="true" outlineLevel="0" collapsed="false">
      <c r="B123" s="127" t="s">
        <v>83</v>
      </c>
    </row>
    <row r="124" customFormat="false" ht="37.5" hidden="false" customHeight="true" outlineLevel="0" collapsed="false">
      <c r="B124" s="127" t="s">
        <v>84</v>
      </c>
    </row>
    <row r="126" customFormat="false" ht="12" hidden="false" customHeight="false" outlineLevel="0" collapsed="false">
      <c r="B126" s="127" t="s">
        <v>85</v>
      </c>
    </row>
    <row r="128" customFormat="false" ht="17.25" hidden="false" customHeight="false" outlineLevel="0" collapsed="false">
      <c r="B128" s="131" t="s">
        <v>86</v>
      </c>
    </row>
    <row r="130" customFormat="false" ht="15" hidden="false" customHeight="false" outlineLevel="0" collapsed="false">
      <c r="B130" s="135" t="s">
        <v>87</v>
      </c>
    </row>
    <row r="132" customFormat="false" ht="12" hidden="false" customHeight="false" outlineLevel="0" collapsed="false">
      <c r="B132" s="127" t="s">
        <v>88</v>
      </c>
    </row>
    <row r="134" customFormat="false" ht="12" hidden="false" customHeight="false" outlineLevel="0" collapsed="false">
      <c r="B134" s="127" t="s">
        <v>89</v>
      </c>
    </row>
    <row r="135" customFormat="false" ht="12" hidden="false" customHeight="false" outlineLevel="0" collapsed="false">
      <c r="B135" s="129"/>
    </row>
    <row r="136" customFormat="false" ht="12" hidden="false" customHeight="false" outlineLevel="0" collapsed="false">
      <c r="B136" s="129" t="s">
        <v>90</v>
      </c>
    </row>
    <row r="138" customFormat="false" ht="12" hidden="false" customHeight="false" outlineLevel="0" collapsed="false">
      <c r="B138" s="127" t="s">
        <v>91</v>
      </c>
    </row>
    <row r="139" customFormat="false" ht="12" hidden="false" customHeight="false" outlineLevel="0" collapsed="false">
      <c r="B139" s="129"/>
    </row>
    <row r="140" customFormat="false" ht="12" hidden="false" customHeight="false" outlineLevel="0" collapsed="false">
      <c r="B140" s="129" t="s">
        <v>90</v>
      </c>
    </row>
    <row r="142" customFormat="false" ht="12" hidden="false" customHeight="false" outlineLevel="0" collapsed="false">
      <c r="B142" s="127" t="s">
        <v>92</v>
      </c>
    </row>
    <row r="144" customFormat="false" ht="40.5" hidden="false" customHeight="true" outlineLevel="0" collapsed="false">
      <c r="B144" s="127" t="s">
        <v>93</v>
      </c>
    </row>
    <row r="145" customFormat="false" ht="40.5" hidden="false" customHeight="true" outlineLevel="0" collapsed="false">
      <c r="B145" s="127" t="s">
        <v>94</v>
      </c>
    </row>
    <row r="146" customFormat="false" ht="40.5" hidden="false" customHeight="true" outlineLevel="0" collapsed="false">
      <c r="B146" s="127" t="s">
        <v>95</v>
      </c>
    </row>
    <row r="147" customFormat="false" ht="40.5" hidden="false" customHeight="true" outlineLevel="0" collapsed="false">
      <c r="B147" s="127" t="s">
        <v>96</v>
      </c>
    </row>
    <row r="148" customFormat="false" ht="40.5" hidden="false" customHeight="true" outlineLevel="0" collapsed="false">
      <c r="B148" s="127" t="s">
        <v>97</v>
      </c>
    </row>
    <row r="150" customFormat="false" ht="15" hidden="false" customHeight="false" outlineLevel="0" collapsed="false">
      <c r="B150" s="135" t="s">
        <v>98</v>
      </c>
    </row>
    <row r="152" customFormat="false" ht="12" hidden="false" customHeight="false" outlineLevel="0" collapsed="false">
      <c r="B152" s="127" t="s">
        <v>99</v>
      </c>
    </row>
    <row r="153" customFormat="false" ht="44.25" hidden="false" customHeight="true" outlineLevel="0" collapsed="false">
      <c r="B153" s="127" t="s">
        <v>100</v>
      </c>
    </row>
    <row r="154" customFormat="false" ht="44.25" hidden="false" customHeight="true" outlineLevel="0" collapsed="false">
      <c r="B154" s="127" t="s">
        <v>101</v>
      </c>
    </row>
    <row r="155" customFormat="false" ht="44.25" hidden="false" customHeight="true" outlineLevel="0" collapsed="false">
      <c r="B155" s="127" t="s">
        <v>102</v>
      </c>
    </row>
    <row r="156" customFormat="false" ht="44.25" hidden="false" customHeight="true" outlineLevel="0" collapsed="false">
      <c r="B156" s="129"/>
    </row>
    <row r="157" customFormat="false" ht="44.25" hidden="false" customHeight="true" outlineLevel="0" collapsed="false">
      <c r="B157" s="129" t="s">
        <v>103</v>
      </c>
    </row>
    <row r="158" customFormat="false" ht="44.25" hidden="false" customHeight="true" outlineLevel="0" collapsed="false">
      <c r="B158" s="129" t="s">
        <v>90</v>
      </c>
    </row>
    <row r="160" customFormat="false" ht="12" hidden="false" customHeight="false" outlineLevel="0" collapsed="false">
      <c r="B160" s="127" t="s">
        <v>89</v>
      </c>
    </row>
    <row r="161" customFormat="false" ht="12" hidden="false" customHeight="false" outlineLevel="0" collapsed="false">
      <c r="B161" s="129"/>
    </row>
    <row r="162" customFormat="false" ht="12" hidden="false" customHeight="false" outlineLevel="0" collapsed="false">
      <c r="B162" s="129" t="s">
        <v>90</v>
      </c>
    </row>
    <row r="164" customFormat="false" ht="12" hidden="false" customHeight="false" outlineLevel="0" collapsed="false">
      <c r="B164" s="127" t="s">
        <v>104</v>
      </c>
    </row>
    <row r="165" customFormat="false" ht="12" hidden="false" customHeight="false" outlineLevel="0" collapsed="false">
      <c r="B165" s="129"/>
    </row>
    <row r="166" customFormat="false" ht="34.5" hidden="false" customHeight="true" outlineLevel="0" collapsed="false">
      <c r="B166" s="129" t="s">
        <v>90</v>
      </c>
    </row>
    <row r="168" customFormat="false" ht="34.5" hidden="false" customHeight="true" outlineLevel="0" collapsed="false">
      <c r="B168" s="127" t="s">
        <v>105</v>
      </c>
    </row>
    <row r="169" customFormat="false" ht="34.5" hidden="false" customHeight="true" outlineLevel="0" collapsed="false">
      <c r="B169" s="127" t="s">
        <v>106</v>
      </c>
    </row>
    <row r="171" customFormat="false" ht="12" hidden="false" customHeight="false" outlineLevel="0" collapsed="false">
      <c r="B171" s="127" t="s">
        <v>107</v>
      </c>
    </row>
    <row r="172" customFormat="false" ht="34.5" hidden="false" customHeight="true" outlineLevel="0" collapsed="false">
      <c r="B172" s="127" t="s">
        <v>108</v>
      </c>
    </row>
    <row r="174" customFormat="false" ht="12" hidden="false" customHeight="false" outlineLevel="0" collapsed="false">
      <c r="B174" s="127" t="s">
        <v>109</v>
      </c>
    </row>
    <row r="176" customFormat="false" ht="12" hidden="false" customHeight="false" outlineLevel="0" collapsed="false">
      <c r="B176" s="127" t="s">
        <v>93</v>
      </c>
    </row>
    <row r="177" customFormat="false" ht="39.75" hidden="false" customHeight="true" outlineLevel="0" collapsed="false">
      <c r="B177" s="127" t="s">
        <v>94</v>
      </c>
    </row>
    <row r="178" customFormat="false" ht="39.75" hidden="false" customHeight="true" outlineLevel="0" collapsed="false">
      <c r="B178" s="127" t="s">
        <v>95</v>
      </c>
    </row>
    <row r="179" customFormat="false" ht="39.75" hidden="false" customHeight="true" outlineLevel="0" collapsed="false">
      <c r="B179" s="127" t="s">
        <v>96</v>
      </c>
    </row>
    <row r="180" customFormat="false" ht="39.75" hidden="false" customHeight="true" outlineLevel="0" collapsed="false">
      <c r="B180" s="127" t="s">
        <v>110</v>
      </c>
    </row>
    <row r="182" customFormat="false" ht="15" hidden="false" customHeight="false" outlineLevel="0" collapsed="false">
      <c r="B182" s="135" t="s">
        <v>111</v>
      </c>
    </row>
    <row r="184" customFormat="false" ht="12" hidden="false" customHeight="false" outlineLevel="0" collapsed="false">
      <c r="B184" s="127" t="s">
        <v>112</v>
      </c>
    </row>
    <row r="185" customFormat="false" ht="12" hidden="false" customHeight="false" outlineLevel="0" collapsed="false">
      <c r="B185" s="127" t="s">
        <v>113</v>
      </c>
    </row>
    <row r="186" customFormat="false" ht="12" hidden="false" customHeight="false" outlineLevel="0" collapsed="false">
      <c r="B186" s="129"/>
    </row>
    <row r="187" customFormat="false" ht="48" hidden="false" customHeight="true" outlineLevel="0" collapsed="false">
      <c r="B187" s="129" t="s">
        <v>103</v>
      </c>
    </row>
    <row r="188" customFormat="false" ht="44.25" hidden="false" customHeight="true" outlineLevel="0" collapsed="false">
      <c r="B188" s="129" t="s">
        <v>90</v>
      </c>
    </row>
    <row r="190" customFormat="false" ht="12" hidden="false" customHeight="false" outlineLevel="0" collapsed="false">
      <c r="B190" s="127" t="s">
        <v>114</v>
      </c>
    </row>
    <row r="191" customFormat="false" ht="44.25" hidden="false" customHeight="true" outlineLevel="0" collapsed="false">
      <c r="B191" s="127" t="s">
        <v>115</v>
      </c>
    </row>
    <row r="192" customFormat="false" ht="12" hidden="false" customHeight="false" outlineLevel="0" collapsed="false">
      <c r="B192" s="129"/>
    </row>
    <row r="193" customFormat="false" ht="12" hidden="false" customHeight="false" outlineLevel="0" collapsed="false">
      <c r="B193" s="129" t="s">
        <v>90</v>
      </c>
    </row>
    <row r="194" customFormat="false" ht="27.75" hidden="false" customHeight="true" outlineLevel="0" collapsed="false"/>
    <row r="195" customFormat="false" ht="27.75" hidden="false" customHeight="true" outlineLevel="0" collapsed="false">
      <c r="B195" s="127" t="s">
        <v>116</v>
      </c>
    </row>
    <row r="196" customFormat="false" ht="27.75" hidden="false" customHeight="true" outlineLevel="0" collapsed="false">
      <c r="B196" s="127" t="s">
        <v>117</v>
      </c>
    </row>
    <row r="198" customFormat="false" ht="12" hidden="false" customHeight="false" outlineLevel="0" collapsed="false">
      <c r="B198" s="127" t="s">
        <v>118</v>
      </c>
    </row>
    <row r="200" customFormat="false" ht="12" hidden="false" customHeight="false" outlineLevel="0" collapsed="false">
      <c r="B200" s="127" t="s">
        <v>93</v>
      </c>
    </row>
    <row r="201" customFormat="false" ht="34.5" hidden="false" customHeight="true" outlineLevel="0" collapsed="false">
      <c r="B201" s="127" t="s">
        <v>94</v>
      </c>
    </row>
    <row r="202" customFormat="false" ht="34.5" hidden="false" customHeight="true" outlineLevel="0" collapsed="false">
      <c r="B202" s="127" t="s">
        <v>95</v>
      </c>
    </row>
    <row r="203" customFormat="false" ht="34.5" hidden="false" customHeight="true" outlineLevel="0" collapsed="false">
      <c r="B203" s="127" t="s">
        <v>119</v>
      </c>
    </row>
    <row r="204" customFormat="false" ht="34.5" hidden="false" customHeight="true" outlineLevel="0" collapsed="false">
      <c r="B204" s="127" t="s">
        <v>120</v>
      </c>
    </row>
    <row r="206" customFormat="false" ht="17.25" hidden="false" customHeight="false" outlineLevel="0" collapsed="false">
      <c r="B206" s="131" t="s">
        <v>121</v>
      </c>
    </row>
    <row r="208" customFormat="false" ht="13.45" hidden="false" customHeight="false" outlineLevel="0" collapsed="false">
      <c r="B208" s="132" t="s">
        <v>122</v>
      </c>
    </row>
    <row r="209" customFormat="false" ht="31.5" hidden="false" customHeight="true" outlineLevel="0" collapsed="false">
      <c r="B209" s="127" t="s">
        <v>123</v>
      </c>
    </row>
    <row r="210" customFormat="false" ht="31.5" hidden="false" customHeight="true" outlineLevel="0" collapsed="false">
      <c r="B210" s="127" t="s">
        <v>124</v>
      </c>
    </row>
    <row r="211" customFormat="false" ht="31.5" hidden="false" customHeight="true" outlineLevel="0" collapsed="false">
      <c r="B211" s="127" t="s">
        <v>125</v>
      </c>
    </row>
    <row r="213" customFormat="false" ht="12" hidden="false" customHeight="false" outlineLevel="0" collapsed="false">
      <c r="B213" s="127" t="s">
        <v>126</v>
      </c>
    </row>
    <row r="215" customFormat="false" ht="15" hidden="false" customHeight="false" outlineLevel="0" collapsed="false">
      <c r="B215" s="135" t="s">
        <v>127</v>
      </c>
    </row>
    <row r="217" customFormat="false" ht="12" hidden="false" customHeight="false" outlineLevel="0" collapsed="false">
      <c r="B217" s="127" t="s">
        <v>128</v>
      </c>
    </row>
    <row r="218" customFormat="false" ht="25.5" hidden="false" customHeight="true" outlineLevel="0" collapsed="false">
      <c r="B218" s="127" t="s">
        <v>129</v>
      </c>
    </row>
    <row r="219" customFormat="false" ht="25.5" hidden="false" customHeight="true" outlineLevel="0" collapsed="false">
      <c r="B219" s="129"/>
    </row>
    <row r="220" customFormat="false" ht="12" hidden="false" customHeight="false" outlineLevel="0" collapsed="false">
      <c r="B220" s="129" t="s">
        <v>90</v>
      </c>
    </row>
    <row r="222" customFormat="false" ht="12" hidden="false" customHeight="false" outlineLevel="0" collapsed="false">
      <c r="B222" s="127" t="s">
        <v>130</v>
      </c>
    </row>
    <row r="223" customFormat="false" ht="12" hidden="false" customHeight="false" outlineLevel="0" collapsed="false">
      <c r="B223" s="127" t="s">
        <v>90</v>
      </c>
    </row>
    <row r="225" customFormat="false" ht="12" hidden="false" customHeight="false" outlineLevel="0" collapsed="false">
      <c r="B225" s="127" t="s">
        <v>131</v>
      </c>
    </row>
    <row r="226" customFormat="false" ht="12" hidden="false" customHeight="false" outlineLevel="0" collapsed="false">
      <c r="B226" s="129"/>
    </row>
    <row r="227" customFormat="false" ht="12" hidden="false" customHeight="false" outlineLevel="0" collapsed="false">
      <c r="B227" s="129"/>
    </row>
    <row r="229" customFormat="false" ht="12" hidden="false" customHeight="false" outlineLevel="0" collapsed="false">
      <c r="B229" s="127" t="s">
        <v>132</v>
      </c>
    </row>
    <row r="230" customFormat="false" ht="12" hidden="false" customHeight="false" outlineLevel="0" collapsed="false">
      <c r="B230" s="129"/>
    </row>
    <row r="231" customFormat="false" ht="12" hidden="false" customHeight="false" outlineLevel="0" collapsed="false">
      <c r="B231" s="129"/>
    </row>
    <row r="233" customFormat="false" ht="12" hidden="false" customHeight="false" outlineLevel="0" collapsed="false">
      <c r="B233" s="127" t="s">
        <v>133</v>
      </c>
    </row>
    <row r="235" customFormat="false" ht="12" hidden="false" customHeight="false" outlineLevel="0" collapsed="false">
      <c r="B235" s="127" t="s">
        <v>134</v>
      </c>
    </row>
    <row r="237" customFormat="false" ht="36.75" hidden="false" customHeight="true" outlineLevel="0" collapsed="false">
      <c r="B237" s="127" t="s">
        <v>93</v>
      </c>
    </row>
    <row r="238" customFormat="false" ht="36.75" hidden="false" customHeight="true" outlineLevel="0" collapsed="false">
      <c r="B238" s="127" t="s">
        <v>94</v>
      </c>
    </row>
    <row r="239" customFormat="false" ht="36.75" hidden="false" customHeight="true" outlineLevel="0" collapsed="false">
      <c r="B239" s="127" t="s">
        <v>95</v>
      </c>
    </row>
    <row r="240" customFormat="false" ht="36.75" hidden="false" customHeight="true" outlineLevel="0" collapsed="false">
      <c r="B240" s="127" t="s">
        <v>96</v>
      </c>
    </row>
    <row r="241" customFormat="false" ht="36.75" hidden="false" customHeight="true" outlineLevel="0" collapsed="false">
      <c r="B241" s="127" t="s">
        <v>135</v>
      </c>
    </row>
    <row r="242" customFormat="false" ht="36.75" hidden="false" customHeight="true" outlineLevel="0" collapsed="false"/>
    <row r="243" customFormat="false" ht="15" hidden="false" customHeight="false" outlineLevel="0" collapsed="false">
      <c r="B243" s="135" t="s">
        <v>136</v>
      </c>
    </row>
    <row r="245" customFormat="false" ht="12" hidden="false" customHeight="false" outlineLevel="0" collapsed="false">
      <c r="B245" s="127" t="s">
        <v>137</v>
      </c>
    </row>
    <row r="246" customFormat="false" ht="12" hidden="false" customHeight="false" outlineLevel="0" collapsed="false">
      <c r="B246" s="127" t="s">
        <v>138</v>
      </c>
    </row>
    <row r="247" customFormat="false" ht="12" hidden="false" customHeight="false" outlineLevel="0" collapsed="false">
      <c r="B247" s="129"/>
    </row>
    <row r="248" customFormat="false" ht="12" hidden="false" customHeight="false" outlineLevel="0" collapsed="false">
      <c r="B248" s="129" t="s">
        <v>90</v>
      </c>
    </row>
    <row r="249" customFormat="false" ht="33" hidden="false" customHeight="true" outlineLevel="0" collapsed="false"/>
    <row r="250" customFormat="false" ht="13.45" hidden="false" customHeight="false" outlineLevel="0" collapsed="false">
      <c r="B250" s="132" t="s">
        <v>139</v>
      </c>
    </row>
    <row r="252" customFormat="false" ht="12" hidden="false" customHeight="false" outlineLevel="0" collapsed="false">
      <c r="B252" s="127" t="s">
        <v>140</v>
      </c>
    </row>
    <row r="253" customFormat="false" ht="44.25" hidden="false" customHeight="true" outlineLevel="0" collapsed="false">
      <c r="B253" s="127" t="s">
        <v>141</v>
      </c>
    </row>
    <row r="254" customFormat="false" ht="12" hidden="false" customHeight="false" outlineLevel="0" collapsed="false">
      <c r="B254" s="129"/>
    </row>
    <row r="255" customFormat="false" ht="12" hidden="false" customHeight="false" outlineLevel="0" collapsed="false">
      <c r="B255" s="129" t="s">
        <v>142</v>
      </c>
    </row>
    <row r="256" customFormat="false" ht="86.25" hidden="false" customHeight="true" outlineLevel="0" collapsed="false">
      <c r="B256" s="129" t="s">
        <v>143</v>
      </c>
    </row>
    <row r="257" customFormat="false" ht="51.75" hidden="false" customHeight="true" outlineLevel="0" collapsed="false">
      <c r="B257" s="129" t="s">
        <v>90</v>
      </c>
    </row>
    <row r="258" customFormat="false" ht="51.75" hidden="false" customHeight="true" outlineLevel="0" collapsed="false">
      <c r="B258" s="129" t="s">
        <v>144</v>
      </c>
    </row>
    <row r="259" customFormat="false" ht="74.25" hidden="false" customHeight="true" outlineLevel="0" collapsed="false">
      <c r="B259" s="129" t="s">
        <v>145</v>
      </c>
    </row>
    <row r="260" customFormat="false" ht="90.75" hidden="false" customHeight="true" outlineLevel="0" collapsed="false">
      <c r="B260" s="136" t="s">
        <v>146</v>
      </c>
    </row>
    <row r="261" customFormat="false" ht="51.75" hidden="false" customHeight="true" outlineLevel="0" collapsed="false">
      <c r="B261" s="136" t="s">
        <v>90</v>
      </c>
    </row>
    <row r="262" customFormat="false" ht="51.75" hidden="false" customHeight="true" outlineLevel="0" collapsed="false">
      <c r="B262" s="137" t="s">
        <v>147</v>
      </c>
    </row>
    <row r="263" customFormat="false" ht="51.75" hidden="false" customHeight="true" outlineLevel="0" collapsed="false">
      <c r="B263" s="136" t="s">
        <v>90</v>
      </c>
    </row>
    <row r="264" customFormat="false" ht="84.75" hidden="false" customHeight="true" outlineLevel="0" collapsed="false">
      <c r="B264" s="136" t="s">
        <v>148</v>
      </c>
    </row>
    <row r="265" customFormat="false" ht="84.75" hidden="false" customHeight="true" outlineLevel="0" collapsed="false">
      <c r="B265" s="137" t="s">
        <v>149</v>
      </c>
    </row>
    <row r="266" customFormat="false" ht="84.75" hidden="false" customHeight="true" outlineLevel="0" collapsed="false">
      <c r="B266" s="136" t="s">
        <v>150</v>
      </c>
    </row>
    <row r="267" customFormat="false" ht="84.75" hidden="false" customHeight="true" outlineLevel="0" collapsed="false">
      <c r="B267" s="136" t="s">
        <v>151</v>
      </c>
    </row>
    <row r="268" customFormat="false" ht="84.75" hidden="false" customHeight="true" outlineLevel="0" collapsed="false">
      <c r="B268" s="136" t="s">
        <v>152</v>
      </c>
    </row>
    <row r="269" customFormat="false" ht="84.75" hidden="false" customHeight="true" outlineLevel="0" collapsed="false">
      <c r="B269" s="136" t="s">
        <v>153</v>
      </c>
    </row>
    <row r="270" customFormat="false" ht="84.75" hidden="false" customHeight="true" outlineLevel="0" collapsed="false">
      <c r="B270" s="136" t="s">
        <v>154</v>
      </c>
    </row>
    <row r="271" customFormat="false" ht="84.75" hidden="false" customHeight="true" outlineLevel="0" collapsed="false">
      <c r="B271" s="136" t="s">
        <v>155</v>
      </c>
    </row>
    <row r="272" customFormat="false" ht="51.75" hidden="false" customHeight="true" outlineLevel="0" collapsed="false">
      <c r="B272" s="129" t="s">
        <v>156</v>
      </c>
    </row>
    <row r="273" customFormat="false" ht="51.75" hidden="false" customHeight="true" outlineLevel="0" collapsed="false">
      <c r="B273" s="129" t="s">
        <v>157</v>
      </c>
    </row>
    <row r="274" customFormat="false" ht="51.75" hidden="false" customHeight="true" outlineLevel="0" collapsed="false">
      <c r="B274" s="136" t="s">
        <v>146</v>
      </c>
    </row>
    <row r="275" customFormat="false" ht="51.75" hidden="false" customHeight="true" outlineLevel="0" collapsed="false">
      <c r="B275" s="136" t="s">
        <v>90</v>
      </c>
    </row>
    <row r="276" customFormat="false" ht="51.75" hidden="false" customHeight="true" outlineLevel="0" collapsed="false">
      <c r="B276" s="137" t="s">
        <v>158</v>
      </c>
    </row>
    <row r="277" customFormat="false" ht="76.5" hidden="false" customHeight="true" outlineLevel="0" collapsed="false">
      <c r="B277" s="136" t="s">
        <v>90</v>
      </c>
    </row>
    <row r="278" customFormat="false" ht="76.5" hidden="false" customHeight="true" outlineLevel="0" collapsed="false">
      <c r="B278" s="136" t="s">
        <v>148</v>
      </c>
    </row>
    <row r="279" customFormat="false" ht="76.5" hidden="false" customHeight="true" outlineLevel="0" collapsed="false">
      <c r="B279" s="136" t="s">
        <v>159</v>
      </c>
    </row>
    <row r="280" customFormat="false" ht="76.5" hidden="false" customHeight="true" outlineLevel="0" collapsed="false">
      <c r="B280" s="136" t="s">
        <v>160</v>
      </c>
    </row>
    <row r="281" customFormat="false" ht="76.5" hidden="false" customHeight="true" outlineLevel="0" collapsed="false">
      <c r="B281" s="136" t="s">
        <v>152</v>
      </c>
    </row>
    <row r="282" customFormat="false" ht="76.5" hidden="false" customHeight="true" outlineLevel="0" collapsed="false">
      <c r="B282" s="136" t="s">
        <v>161</v>
      </c>
    </row>
    <row r="283" customFormat="false" ht="76.5" hidden="false" customHeight="true" outlineLevel="0" collapsed="false">
      <c r="B283" s="136" t="s">
        <v>162</v>
      </c>
    </row>
    <row r="284" customFormat="false" ht="51.75" hidden="false" customHeight="true" outlineLevel="0" collapsed="false">
      <c r="B284" s="136" t="s">
        <v>154</v>
      </c>
    </row>
    <row r="285" customFormat="false" ht="51.75" hidden="false" customHeight="true" outlineLevel="0" collapsed="false">
      <c r="B285" s="136" t="s">
        <v>163</v>
      </c>
    </row>
    <row r="286" customFormat="false" ht="51.75" hidden="false" customHeight="true" outlineLevel="0" collapsed="false">
      <c r="B286" s="129" t="s">
        <v>152</v>
      </c>
    </row>
    <row r="287" customFormat="false" ht="51.75" hidden="false" customHeight="true" outlineLevel="0" collapsed="false">
      <c r="B287" s="129" t="s">
        <v>90</v>
      </c>
    </row>
    <row r="288" customFormat="false" ht="58.5" hidden="false" customHeight="true" outlineLevel="0" collapsed="false"/>
    <row r="289" customFormat="false" ht="37.5" hidden="false" customHeight="true" outlineLevel="0" collapsed="false">
      <c r="B289" s="127" t="s">
        <v>164</v>
      </c>
    </row>
    <row r="290" customFormat="false" ht="37.5" hidden="false" customHeight="true" outlineLevel="0" collapsed="false">
      <c r="B290" s="127" t="s">
        <v>103</v>
      </c>
    </row>
    <row r="291" customFormat="false" ht="37.5" hidden="false" customHeight="true" outlineLevel="0" collapsed="false">
      <c r="B291" s="127" t="s">
        <v>165</v>
      </c>
    </row>
    <row r="292" customFormat="false" ht="37.5" hidden="false" customHeight="true" outlineLevel="0" collapsed="false">
      <c r="B292" s="132" t="s">
        <v>166</v>
      </c>
    </row>
  </sheetData>
  <hyperlinks>
    <hyperlink ref="B13" r:id="rId1" location="cite_note-7" display="evtl. Restschuldversicherung bzw. Kreditlebensversicherung (sofern verpflichtend im Angebot enthalten [7])"/>
    <hyperlink ref="B40" r:id="rId2" display="Den effektiven Jahreszinssatz bei endfälligen Anleihen, die über mehrere Jahre laufen und den Zins wieder mitverzinsen (Zinseszins), berechnet man mit Zinsfaktoren:"/>
    <hyperlink ref="B102" r:id="rId3" display="Diese Formel mag unglaubwürdig erscheinen, weil sie für z = 24 / 11 nicht definiert ist und für noch höhere Werte z sogar unsinnige negative Ergebnisse liefert. Man muss sich jedoch klarmachen, was es heißt, einen Bankzinssatz von 218 % präsentiert zu bekommen. Innerhalb von sechs Monaten wird über die monatlichen Beträge eine größere Summe gezahlt, als die Schuldsumme vom Jahresanfang ausmacht. Nach der Vorgehensweise des effektiven Jahreszinssatzes bedeutet dies, dass der Schuldner, der ja während des Jahres keine Zinsen zahlt, sondern nur tilgt, ab dem sechsten Monat ein Guthaben bei der Bank bildet. Dieses Guthaben muss die Bank natürlich ebenso verzinsen wie zuvor die Schuld – nur mit umgekehrtem Vorzeichen. Beide Zinsen werden gegeneinander aufgerechnet und müssen ohne jegliche Tilgung den Wert null ergeben. Das kann aber nicht funktionieren, wenn die Schuldsumme vom Jahresanfang bereits vor der Jahreshälfte getilgt worden ist. Folglich müssen die Zinsen auf die im Laufe statt am Ende des Jahres gezahlten Raten den Ausschlag geben. Und dazu müssen sie eben sehr hoch sein - im Extremfall unendlich."/>
    <hyperlink ref="B112" r:id="rId4" display="Bei Disagio handelt es sich um einen Abschlag auf den Nennwert bzw. um einen vorab geleisteten Zins für die Dauer der Zinsbindung, was sich in einer niedrigeren Auszahlung der Darlehenssumme ausdrückt. Die Berechnung des Effektivzinssatzes erfolgt mittels des Nominalzinssatzes (und der anderen Parameter wie Laufzeit, Tilgung). Umgekehrt kann ausgehend von einem Effektivzinssatz der dazugehörige Nominalzinssatz ermittelt werden."/>
    <hyperlink ref="B208" r:id="rId5" display="Im Gegensatz zu den oben diskutierten Tilgungsdarlehen ist ein Annuitätendarlehen eins, bei dem während der vereinbarten Zinsbindungsdauer periodisch eine aus Zins und Tilgung"/>
    <hyperlink ref="B250" r:id="rId6" display="Bei der Anwendung dieses Verfahrens geht man so vor, dass man ein Intervall findet, das von der Iterationsfunktion in sich abgebildet wird und den Voraussetzungen z. B. folgenden Satzes (s. Satz zur Existenz und Eindeutigkeit in Fixpunktiteration) genügt."/>
    <hyperlink ref="B262" r:id="rId7" display="2. ist monoton steigend für alle"/>
    <hyperlink ref="B265" r:id="rId8" display="(vollständige Induktion über"/>
    <hyperlink ref="B276" r:id="rId9" display="2. ist monoton fallend für alle"/>
    <hyperlink ref="B292" r:id="rId10" display="dort existiert (s. Satz zur Existenz und Eindeutigkeit in Fixpunktiteration)."/>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G12" activeCellId="0" sqref="G12"/>
    </sheetView>
  </sheetViews>
  <sheetFormatPr defaultColWidth="10.72265625" defaultRowHeight="12" customHeight="false" zeroHeight="false" outlineLevelRow="0" outlineLevelCol="0"/>
  <cols>
    <col collapsed="false" customWidth="true" hidden="false" outlineLevel="0" max="1" min="1" style="127" width="5.27"/>
    <col collapsed="false" customWidth="true" hidden="false" outlineLevel="0" max="2" min="2" style="127" width="17.27"/>
    <col collapsed="false" customWidth="true" hidden="false" outlineLevel="0" max="3" min="3" style="127" width="9.27"/>
    <col collapsed="false" customWidth="true" hidden="false" outlineLevel="0" max="5" min="5" style="127" width="9.18"/>
    <col collapsed="false" customWidth="true" hidden="false" outlineLevel="0" max="6" min="6" style="127" width="19.73"/>
    <col collapsed="false" customWidth="true" hidden="false" outlineLevel="0" max="13" min="12" style="138" width="11.45"/>
    <col collapsed="false" customWidth="true" hidden="false" outlineLevel="0" max="16" min="16" style="127" width="23"/>
  </cols>
  <sheetData>
    <row r="1" customFormat="false" ht="12.65" hidden="false" customHeight="false" outlineLevel="0" collapsed="false">
      <c r="J1" s="139" t="s">
        <v>19</v>
      </c>
      <c r="K1" s="139" t="s">
        <v>14</v>
      </c>
      <c r="L1" s="138" t="n">
        <v>12</v>
      </c>
      <c r="M1" s="138" t="n">
        <v>1</v>
      </c>
      <c r="O1" s="140" t="s">
        <v>167</v>
      </c>
      <c r="P1" s="140"/>
    </row>
    <row r="2" customFormat="false" ht="12.65" hidden="false" customHeight="false" outlineLevel="0" collapsed="false">
      <c r="A2" s="141"/>
      <c r="B2" s="141"/>
      <c r="C2" s="141"/>
      <c r="D2" s="141"/>
      <c r="E2" s="141"/>
      <c r="J2" s="139" t="s">
        <v>168</v>
      </c>
      <c r="K2" s="139" t="s">
        <v>169</v>
      </c>
      <c r="L2" s="138" t="n">
        <v>4</v>
      </c>
      <c r="M2" s="138" t="n">
        <v>3</v>
      </c>
      <c r="O2" s="142" t="s">
        <v>170</v>
      </c>
      <c r="P2" s="143" t="s">
        <v>171</v>
      </c>
    </row>
    <row r="3" customFormat="false" ht="14.25" hidden="false" customHeight="false" outlineLevel="0" collapsed="false">
      <c r="A3" s="141"/>
      <c r="B3" s="120" t="n">
        <f aca="false">IF(Zahlweise="M",12,IF(Zahlweise="Q",4,IF(Zahlweise="H",2,1)))</f>
        <v>12</v>
      </c>
      <c r="C3" s="141" t="s">
        <v>172</v>
      </c>
      <c r="D3" s="141"/>
      <c r="E3" s="141"/>
      <c r="K3" s="139" t="s">
        <v>173</v>
      </c>
      <c r="L3" s="138" t="n">
        <v>2</v>
      </c>
      <c r="M3" s="138" t="n">
        <v>6</v>
      </c>
      <c r="O3" s="144" t="s">
        <v>174</v>
      </c>
      <c r="P3" s="127" t="s">
        <v>175</v>
      </c>
    </row>
    <row r="4" customFormat="false" ht="15" hidden="false" customHeight="false" outlineLevel="0" collapsed="false">
      <c r="A4" s="141"/>
      <c r="B4" s="145" t="n">
        <f aca="false">ROUND(NPER($G$5%/Divisor,G11,G4*-1),15)</f>
        <v>300.042050454967</v>
      </c>
      <c r="C4" s="141" t="s">
        <v>176</v>
      </c>
      <c r="D4" s="141"/>
      <c r="E4" s="141"/>
      <c r="F4" s="146" t="s">
        <v>23</v>
      </c>
      <c r="G4" s="127" t="n">
        <f aca="false">Kreditbetrag</f>
        <v>210896</v>
      </c>
      <c r="K4" s="139" t="s">
        <v>19</v>
      </c>
      <c r="L4" s="138" t="n">
        <v>1</v>
      </c>
      <c r="M4" s="138" t="n">
        <v>12</v>
      </c>
      <c r="O4" s="144" t="s">
        <v>177</v>
      </c>
      <c r="P4" s="147" t="s">
        <v>178</v>
      </c>
    </row>
    <row r="5" customFormat="false" ht="15" hidden="false" customHeight="false" outlineLevel="0" collapsed="false">
      <c r="A5" s="141"/>
      <c r="B5" s="120" t="n">
        <f aca="false">IF(Divisor=12,1,IF(Divisor=4,3,IF(Divisor=2,6,12)))</f>
        <v>1</v>
      </c>
      <c r="C5" s="141" t="s">
        <v>179</v>
      </c>
      <c r="D5" s="141"/>
      <c r="E5" s="141"/>
      <c r="F5" s="146" t="s">
        <v>180</v>
      </c>
      <c r="G5" s="148" t="n">
        <f aca="false">IF(AND(C8&gt;0,C13=0),C8,IF(AND(C8=0,C13&gt;0),C13,))</f>
        <v>3</v>
      </c>
      <c r="O5" s="144" t="s">
        <v>181</v>
      </c>
      <c r="P5" s="147" t="s">
        <v>182</v>
      </c>
    </row>
    <row r="6" customFormat="false" ht="15" hidden="false" customHeight="false" outlineLevel="0" collapsed="false">
      <c r="A6" s="141"/>
      <c r="B6" s="141" t="n">
        <f aca="false">ROUNDUP(Anzahl_Z_Perioden,0)</f>
        <v>301</v>
      </c>
      <c r="C6" s="149" t="s">
        <v>183</v>
      </c>
      <c r="D6" s="141"/>
      <c r="E6" s="141"/>
      <c r="F6" s="146" t="s">
        <v>25</v>
      </c>
      <c r="G6" s="127" t="n">
        <f aca="false">C9</f>
        <v>2.69</v>
      </c>
      <c r="O6" s="144" t="s">
        <v>184</v>
      </c>
      <c r="P6" s="127" t="s">
        <v>185</v>
      </c>
    </row>
    <row r="7" customFormat="false" ht="15" hidden="false" customHeight="false" outlineLevel="0" collapsed="false">
      <c r="B7" s="127" t="n">
        <f aca="false">Kreditbetrag</f>
        <v>210896</v>
      </c>
      <c r="D7" s="127" t="s">
        <v>186</v>
      </c>
      <c r="F7" s="146" t="s">
        <v>26</v>
      </c>
      <c r="G7" s="148" t="n">
        <f aca="false">C10</f>
        <v>0</v>
      </c>
      <c r="O7" s="150" t="s">
        <v>187</v>
      </c>
      <c r="P7" s="127" t="s">
        <v>188</v>
      </c>
    </row>
    <row r="8" customFormat="false" ht="15" hidden="false" customHeight="false" outlineLevel="0" collapsed="false">
      <c r="B8" s="127" t="n">
        <f aca="false">Zinssatz_in_Prozent</f>
        <v>3</v>
      </c>
      <c r="C8" s="148" t="n">
        <f aca="false">IF(AND(ISNUMBER($B$8),$B$8&gt;0),$B$8,IF(AND(ISNUMBER($C$11),$C$11&gt;0,ISNUMBER($C$10),$C$10&gt;0,ISNUMBER($G$4),$G$4&gt;0),SUM(RATE($C$11,-$C$10,$G$4)*$B$3*100),0))</f>
        <v>3</v>
      </c>
      <c r="D8" s="127" t="s">
        <v>189</v>
      </c>
      <c r="F8" s="146" t="s">
        <v>190</v>
      </c>
      <c r="G8" s="148" t="n">
        <f aca="false">C11</f>
        <v>0</v>
      </c>
    </row>
    <row r="9" customFormat="false" ht="15" hidden="false" customHeight="false" outlineLevel="0" collapsed="false">
      <c r="B9" s="127" t="n">
        <f aca="false">Tilgung_in_Prozent</f>
        <v>2.69</v>
      </c>
      <c r="C9" s="127" t="n">
        <f aca="false">IF(AND(ISNUMBER(B9),B9&gt;0),B9,0)</f>
        <v>2.69</v>
      </c>
      <c r="D9" s="127" t="s">
        <v>191</v>
      </c>
      <c r="F9" s="146" t="s">
        <v>192</v>
      </c>
      <c r="G9" s="151" t="str">
        <f aca="false">Tilgungsverlauf!G9</f>
        <v>M</v>
      </c>
    </row>
    <row r="10" customFormat="false" ht="15" hidden="false" customHeight="false" outlineLevel="0" collapsed="false">
      <c r="B10" s="127" t="n">
        <f aca="false">Tilgung_in_DM</f>
        <v>950</v>
      </c>
      <c r="C10" s="127" t="n">
        <f aca="false">IF(AND(C9=0,B10&gt;0),B10,0)</f>
        <v>0</v>
      </c>
      <c r="D10" s="127" t="s">
        <v>193</v>
      </c>
      <c r="F10" s="146" t="s">
        <v>194</v>
      </c>
      <c r="G10" s="152" t="n">
        <f aca="false">Tilgungsverlauf!G10</f>
        <v>43830</v>
      </c>
      <c r="I10" s="147" t="s">
        <v>195</v>
      </c>
      <c r="K10" s="152" t="n">
        <f aca="false">EDATE(G10,(B6*VLOOKUP(G9,K1:M4,3,FALSE())-1))</f>
        <v>52962</v>
      </c>
    </row>
    <row r="11" customFormat="false" ht="15" hidden="false" customHeight="false" outlineLevel="0" collapsed="false">
      <c r="B11" s="127" t="n">
        <f aca="false">Tilgung_in_Anzahl_Perioden</f>
        <v>359</v>
      </c>
      <c r="C11" s="127" t="n">
        <f aca="false">IF(AND($C$9=0,$C$10=0,$B$11&gt;0),$B$11,0)</f>
        <v>0</v>
      </c>
      <c r="D11" s="127" t="s">
        <v>190</v>
      </c>
      <c r="F11" s="153" t="s">
        <v>26</v>
      </c>
      <c r="G11" s="154" t="n">
        <f aca="false">IF(AND(ISNUMBER(G4),G4&lt;&gt;0),IF(OR($G$9="J",$G$9="H",$G$9="Q",$G$9="M"),IF(AND(ISNUMBER($G$6),$G$6&gt;0),$G$4/100*($G$5+$G$6)/Divisor,IF(AND(ISNUMBER($G$7),$G$7&gt;0),$G$7,IF(AND(ISNUMBER($G$8),$G$8&gt;0),PMT($G$5%/Divisor,IF($G$8&gt;0,$G$8,1),$G$4*-1),"  F 01  "))),"  F 02  "),"  F 03  ")</f>
        <v>999.998533333333</v>
      </c>
    </row>
    <row r="12" customFormat="false" ht="15" hidden="false" customHeight="false" outlineLevel="0" collapsed="false">
      <c r="C12" s="127" t="n">
        <f aca="false">IF(AND($C$8=0,$C$9=0,$B$11&gt;0,C11=0),$B$11,0)</f>
        <v>0</v>
      </c>
      <c r="F12" s="155" t="s">
        <v>190</v>
      </c>
      <c r="G12" s="156" t="n">
        <f aca="false">IF(ISNUMBER(Anzahl_Z_Perioden),INT(SUM(Anzahl_Z_Perioden,0.99999))," ")</f>
        <v>301</v>
      </c>
    </row>
    <row r="13" customFormat="false" ht="15" hidden="false" customHeight="false" outlineLevel="0" collapsed="false">
      <c r="C13" s="148" t="n">
        <f aca="false">IF(AND($C$8=0,C11=0,C12&gt;0),SUM(RATE($C$12,-$C$10,$G$4)*$B$3*100),0)</f>
        <v>0</v>
      </c>
      <c r="F13" s="146" t="s">
        <v>196</v>
      </c>
      <c r="G13" s="157" t="n">
        <f aca="false">Anzahl_Z_Perioden*G11</f>
        <v>300041.610393293</v>
      </c>
      <c r="I13" s="127" t="s">
        <v>197</v>
      </c>
      <c r="K13" s="157" t="n">
        <f aca="false">IFERROR(LARGE(Tilgungsverlauf!N17:N8908,1),"")</f>
        <v>191999.7184</v>
      </c>
    </row>
    <row r="15" customFormat="false" ht="12" hidden="false" customHeight="false" outlineLevel="0" collapsed="false">
      <c r="F15" s="147" t="s">
        <v>198</v>
      </c>
      <c r="G15" s="127" t="n">
        <f aca="false">ROUND(EFFECT(G5/100,VLOOKUP(G9,K1:L4,2,FALSE()))*100,2)</f>
        <v>3.04</v>
      </c>
    </row>
  </sheetData>
  <printOptions headings="false" gridLines="true" gridLinesSet="true" horizontalCentered="false" verticalCentered="false"/>
  <pageMargins left="0.7875" right="0.7875" top="0.984027777777778" bottom="0.984027777777778" header="0.511805555555556" footer="0.511805555555556"/>
  <pageSetup paperSize="9" scale="100" fitToWidth="1" fitToHeight="1" pageOrder="downThenOver" orientation="landscape" blackAndWhite="false" draft="false" cellComments="none" horizontalDpi="300" verticalDpi="300" copies="1"/>
  <headerFooter differentFirst="false" differentOddEven="false">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LibreOfficeDev/26.8.0.0.alpha0$Linux_X86_64 LibreOffice_project/30cf905603a10b70b2a797523900b10480509335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2018-09-21T11:42:37Z</dcterms:created>
  <dc:creator/>
  <dc:description/>
  <dc:language>en-US</dc:language>
  <cp:lastModifiedBy/>
  <dcterms:modified xsi:type="dcterms:W3CDTF">2026-04-24T17:48:08Z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