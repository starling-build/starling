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rden budget" sheetId="1" r:id="rId1"/>
    <sheet name="Season" sheetId="2" r:id="rId2"/>
    <sheet name="Volunteers" sheetId="3" r:id="rId3"/>
    <sheet name="Explore" sheetId="4" r:id="rId4"/>
    <sheet name="Protected plan" sheetId="5" r:id="rId5"/>
  </sheets>
  <definedNames>
    <definedName name="DoubleHours">LAMBDA(hours,hours*2)</definedName>
    <definedName name="_xlnm.Print_Area" localSheetId="3">Explore!$A$1:$F$31</definedName>
    <definedName name="_xlnm.Print_Area" localSheetId="0">'Garden budget'!$A$1:$O$18</definedName>
    <definedName name="_xlnm.Print_Area" localSheetId="4">'Protected plan'!$A$1:$F$16</definedName>
    <definedName name="_xlnm.Print_Area" localSheetId="1">Season!$A$1:$O$18</definedName>
    <definedName name="_xlnm.Print_Area" localSheetId="2">Volunteers!$A$1:$N$18</definedName>
    <definedName name="TotalBudget">'Garden budget'!$B$12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<sst xmlns="http://schemas.openxmlformats.org/spreadsheetml/2006/main" count="104" uniqueCount="97">
  <si>
    <t>A community garden, in numbers.</t>
  </si>
  <si>
    <t>Edit an actual amount. Totals, status colors, and the chart follow.</t>
  </si>
  <si>
    <t>Category</t>
  </si>
  <si>
    <t>Budget</t>
  </si>
  <si>
    <t>Actual</t>
  </si>
  <si>
    <t>Remaining</t>
  </si>
  <si>
    <t>Status</t>
  </si>
  <si>
    <t>Raised beds</t>
  </si>
  <si>
    <t>=B5-C5</t>
  </si>
  <si>
    <t>=IF(D5&lt;0,"Over budget","On track")</t>
  </si>
  <si>
    <t>Soil &amp; compost</t>
  </si>
  <si>
    <t>=B6-C6</t>
  </si>
  <si>
    <t>=IF(D6&lt;0,"Over budget","On track")</t>
  </si>
  <si>
    <t>Seeds &amp; plants</t>
  </si>
  <si>
    <t>=B7-C7</t>
  </si>
  <si>
    <t>=IF(D7&lt;0,"Over budget","On track")</t>
  </si>
  <si>
    <t>Shared tools</t>
  </si>
  <si>
    <t>=B8-C8</t>
  </si>
  <si>
    <t>=IF(D8&lt;0,"Over budget","On track")</t>
  </si>
  <si>
    <t>Paths &amp; signs</t>
  </si>
  <si>
    <t>=B9-C9</t>
  </si>
  <si>
    <t>=IF(D9&lt;0,"Over budget","On track")</t>
  </si>
  <si>
    <t>Opening day</t>
  </si>
  <si>
    <t>=B10-C10</t>
  </si>
  <si>
    <t>=IF(D10&lt;0,"Over budget","On track")</t>
  </si>
  <si>
    <t>Total</t>
  </si>
  <si>
    <t>Try the table filters, sort by budget, or change an actual amount.</t>
  </si>
  <si>
    <t>Watch the season take shape.</t>
  </si>
  <si>
    <t>Dates, percentages, grouped rows, and charts. Expand the outline to inspect a month.</t>
  </si>
  <si>
    <t>Month</t>
  </si>
  <si>
    <t>Visits</t>
  </si>
  <si>
    <t>Harvest kg</t>
  </si>
  <si>
    <t>Target kg</t>
  </si>
  <si>
    <t>Progress</t>
  </si>
  <si>
    <t>Label</t>
  </si>
  <si>
    <t>Many hands, shared work.</t>
  </si>
  <si>
    <t>Filter a team, sort by hours, or choose a different role from the dropdown.</t>
  </si>
  <si>
    <t>Name</t>
  </si>
  <si>
    <t>Team</t>
  </si>
  <si>
    <t>Hours</t>
  </si>
  <si>
    <t>Shift</t>
  </si>
  <si>
    <t>Alex</t>
  </si>
  <si>
    <t>Build</t>
  </si>
  <si>
    <t>Morning</t>
  </si>
  <si>
    <t>Sam</t>
  </si>
  <si>
    <t>Garden</t>
  </si>
  <si>
    <t>Afternoon</t>
  </si>
  <si>
    <t>Jordan</t>
  </si>
  <si>
    <t>Welcome</t>
  </si>
  <si>
    <t>Robin</t>
  </si>
  <si>
    <t>Casey</t>
  </si>
  <si>
    <t>Morgan</t>
  </si>
  <si>
    <t>Explore the formulas →</t>
  </si>
  <si>
    <t>Ask a better question.</t>
  </si>
  <si>
    <t>Live formulas: edit a source sheet, then see these answers change.</t>
  </si>
  <si>
    <t>Question</t>
  </si>
  <si>
    <t>Answer</t>
  </si>
  <si>
    <t>Formula to explore</t>
  </si>
  <si>
    <t>Total volunteer hours</t>
  </si>
  <si>
    <t>=SUM(Volunteers!C5:C10)</t>
  </si>
  <si>
    <t>Garden team hours</t>
  </si>
  <si>
    <t>=SUMIF(Volunteers!B5:B10,"Garden",Volunteers!C5:C10)</t>
  </si>
  <si>
    <t>Morning volunteers</t>
  </si>
  <si>
    <t>=COUNTIF(Volunteers!D5:D10,"Morning")</t>
  </si>
  <si>
    <t>Average shift</t>
  </si>
  <si>
    <t>=AVERAGE(Volunteers!C5:C10)</t>
  </si>
  <si>
    <t>Largest shift</t>
  </si>
  <si>
    <t>=MAX(Volunteers!C5:C10)</t>
  </si>
  <si>
    <t>Rounded mean</t>
  </si>
  <si>
    <t>=ROUND(AVERAGE(Volunteers!C5:C10),1)</t>
  </si>
  <si>
    <t>Alex’s team</t>
  </si>
  <si>
    <t>=XLOOKUP("Alex",Volunteers!A5:A10,Volunteers!B5:B10)</t>
  </si>
  <si>
    <t>A safe fallback</t>
  </si>
  <si>
    <t>=IFERROR(1/0,"Try another value")</t>
  </si>
  <si>
    <t>Name an intermediate value</t>
  </si>
  <si>
    <t>=LET(hours,SUM(Volunteers!C5:C10),hours*2)</t>
  </si>
  <si>
    <t>A reusable calculation</t>
  </si>
  <si>
    <t>=DoubleHours(12)</t>
  </si>
  <si>
    <t>Unique teams</t>
  </si>
  <si>
    <t>A four-week sequence</t>
  </si>
  <si>
    <t>Garden volunteers</t>
  </si>
  <si>
    <t>Names in order</t>
  </si>
  <si>
    <t>Change the inputs. Keep the plan.</t>
  </si>
  <si>
    <t>Yellow cells are editable. Formula cells are protected without a password.</t>
  </si>
  <si>
    <t>Input</t>
  </si>
  <si>
    <t>Value</t>
  </si>
  <si>
    <t>Meaning</t>
  </si>
  <si>
    <t>Beds</t>
  </si>
  <si>
    <t>Raised beds to prepare</t>
  </si>
  <si>
    <t>Plants per bed</t>
  </si>
  <si>
    <t>Your planting density</t>
  </si>
  <si>
    <t>Cost per plant</t>
  </si>
  <si>
    <t>Illustrative unit cost</t>
  </si>
  <si>
    <t>Plants needed</t>
  </si>
  <si>
    <t>Planting cost</t>
  </si>
  <si>
    <t>Share of total budget</t>
  </si>
  <si>
    <t>Try editing a yellow cell, then a protected total. You can unprotect this sheet.</t>
  </si>
</sst>
</file>

<file path=xl/styles.xml><?xml version="1.0" encoding="utf-8"?>
<styleSheet xmlns="http://schemas.openxmlformats.org/spreadsheetml/2006/main">
  <numFmts count="3">
    <numFmt numFmtId="164" formatCode="$#,##0"/>
    <numFmt numFmtId="165" formatCode="mmm d"/>
    <numFmt numFmtId="166" formatCode="0%"/>
  </numFmts>
  <fonts count="7">
    <font>
      <sz val="11"/>
      <color theme="1"/>
      <name val="Calibri"/>
      <family val="2"/>
      <scheme val="minor"/>
    </font>
    <font>
      <b/>
      <sz val="22"/>
      <color rgb="FF135F49"/>
      <name val="Calibri"/>
      <family val="2"/>
      <scheme val="minor"/>
    </font>
    <font>
      <sz val="11"/>
      <color rgb="FF517267"/>
      <name val="Calibri"/>
      <family val="2"/>
      <scheme val="minor"/>
    </font>
    <font>
      <sz val="12"/>
      <color rgb="FF243E34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243E34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7644F"/>
        <bgColor indexed="64"/>
      </patternFill>
    </fill>
    <fill>
      <patternFill patternType="solid">
        <fgColor rgb="FFDDEEE4"/>
        <bgColor indexed="64"/>
      </patternFill>
    </fill>
    <fill>
      <patternFill patternType="solid">
        <fgColor rgb="FFFFF0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3" fillId="0" borderId="0" xfId="0" applyFont="1"/>
    <xf numFmtId="0" fontId="4" fillId="2" borderId="0" xfId="0" applyFont="1" applyFill="1"/>
    <xf numFmtId="164" fontId="5" fillId="3" borderId="0" xfId="0" applyNumberFormat="1" applyFont="1" applyFill="1"/>
    <xf numFmtId="165" fontId="3" fillId="0" borderId="0" xfId="0" applyNumberFormat="1" applyFont="1"/>
    <xf numFmtId="166" fontId="3" fillId="0" borderId="0" xfId="0" applyNumberFormat="1" applyFont="1"/>
    <xf numFmtId="0" fontId="6" fillId="0" borderId="0" xfId="1" applyAlignment="1" applyProtection="1"/>
    <xf numFmtId="1" fontId="3" fillId="4" borderId="0" xfId="0" applyNumberFormat="1" applyFont="1" applyFill="1" applyProtection="1">
      <protection locked="0"/>
    </xf>
  </cellXfs>
  <cellStyles count="2">
    <cellStyle name="Hyperlink" xfId="1" builtinId="8"/>
    <cellStyle name="Normal" xfId="0" builtinId="0"/>
  </cellStyles>
  <dxfs count="2">
    <dxf>
      <font>
        <color rgb="FF243E34"/>
      </font>
      <numFmt numFmtId="164" formatCode="$#,##0"/>
    </dxf>
    <dxf>
      <font>
        <color rgb="FFA32921"/>
      </font>
      <fill>
        <patternFill>
          <bgColor rgb="FFF8D8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Budget and actual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'Garden budget'!$B$4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17644F"/>
            </a:solidFill>
          </c:spPr>
          <c:cat>
            <c:strRef>
              <c:f>'Garden budget'!$A$5:$A$10</c:f>
              <c:strCache>
                <c:ptCount val="6"/>
                <c:pt idx="0">
                  <c:v>Raised beds</c:v>
                </c:pt>
                <c:pt idx="1">
                  <c:v>Soil &amp; compost</c:v>
                </c:pt>
                <c:pt idx="2">
                  <c:v>Seeds &amp; plants</c:v>
                </c:pt>
                <c:pt idx="3">
                  <c:v>Shared tools</c:v>
                </c:pt>
                <c:pt idx="4">
                  <c:v>Paths &amp; signs</c:v>
                </c:pt>
                <c:pt idx="5">
                  <c:v>Opening day</c:v>
                </c:pt>
              </c:strCache>
            </c:strRef>
          </c:cat>
          <c:val>
            <c:numRef>
              <c:f>'Garden budget'!$B$5:$B$10</c:f>
              <c:numCache>
                <c:formatCode>General</c:formatCode>
                <c:ptCount val="6"/>
                <c:pt idx="0">
                  <c:v>2400</c:v>
                </c:pt>
                <c:pt idx="1">
                  <c:v>1200</c:v>
                </c:pt>
                <c:pt idx="2">
                  <c:v>850</c:v>
                </c:pt>
                <c:pt idx="3">
                  <c:v>1100</c:v>
                </c:pt>
                <c:pt idx="4">
                  <c:v>1450</c:v>
                </c:pt>
                <c:pt idx="5">
                  <c:v>500</c:v>
                </c:pt>
              </c:numCache>
            </c:numRef>
          </c:val>
        </c:ser>
        <c:ser>
          <c:idx val="1"/>
          <c:order val="1"/>
          <c:tx>
            <c:strRef>
              <c:f>'Garden budget'!$C$4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7DBBA0"/>
            </a:solidFill>
          </c:spPr>
          <c:cat>
            <c:strRef>
              <c:f>'Garden budget'!$A$5:$A$10</c:f>
              <c:strCache>
                <c:ptCount val="6"/>
                <c:pt idx="0">
                  <c:v>Raised beds</c:v>
                </c:pt>
                <c:pt idx="1">
                  <c:v>Soil &amp; compost</c:v>
                </c:pt>
                <c:pt idx="2">
                  <c:v>Seeds &amp; plants</c:v>
                </c:pt>
                <c:pt idx="3">
                  <c:v>Shared tools</c:v>
                </c:pt>
                <c:pt idx="4">
                  <c:v>Paths &amp; signs</c:v>
                </c:pt>
                <c:pt idx="5">
                  <c:v>Opening day</c:v>
                </c:pt>
              </c:strCache>
            </c:strRef>
          </c:cat>
          <c:val>
            <c:numRef>
              <c:f>'Garden budget'!$C$5:$C$10</c:f>
              <c:numCache>
                <c:formatCode>General</c:formatCode>
                <c:ptCount val="6"/>
                <c:pt idx="0">
                  <c:v>2150</c:v>
                </c:pt>
                <c:pt idx="1">
                  <c:v>1080</c:v>
                </c:pt>
                <c:pt idx="2">
                  <c:v>920</c:v>
                </c:pt>
                <c:pt idx="3">
                  <c:v>960</c:v>
                </c:pt>
                <c:pt idx="4">
                  <c:v>1320</c:v>
                </c:pt>
                <c:pt idx="5">
                  <c:v>390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Harvest through the season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Harvest</c:v>
          </c:tx>
          <c:spPr>
            <a:ln>
              <a:solidFill>
                <a:srgbClr val="17644F"/>
              </a:solidFill>
            </a:ln>
          </c:spPr>
          <c:marker>
            <c:symbol val="none"/>
          </c:marker>
          <c:cat>
            <c:strRef>
              <c:f>'Season'!$F$5:$F$10</c:f>
              <c:strCache>
                <c:ptCount val="6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Aug</c:v>
                </c:pt>
                <c:pt idx="4">
                  <c:v>Sep</c:v>
                </c:pt>
                <c:pt idx="5">
                  <c:v>Oct</c:v>
                </c:pt>
              </c:strCache>
            </c:strRef>
          </c:cat>
          <c:val>
            <c:numRef>
              <c:f>'Season'!$C$5:$C$10</c:f>
              <c:numCache>
                <c:formatCode>General</c:formatCode>
                <c:ptCount val="6"/>
                <c:pt idx="0">
                  <c:v>12</c:v>
                </c:pt>
                <c:pt idx="1">
                  <c:v>22</c:v>
                </c:pt>
                <c:pt idx="2">
                  <c:v>35</c:v>
                </c:pt>
                <c:pt idx="3">
                  <c:v>42</c:v>
                </c:pt>
                <c:pt idx="4">
                  <c:v>48</c:v>
                </c:pt>
                <c:pt idx="5">
                  <c:v>54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Sharing the work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Volunteer hours</c:v>
          </c:tx>
          <c:cat>
            <c:strRef>
              <c:f>'Volunteers'!$A$5:$A$10</c:f>
              <c:strCache>
                <c:ptCount val="6"/>
                <c:pt idx="0">
                  <c:v>Alex</c:v>
                </c:pt>
                <c:pt idx="1">
                  <c:v>Sam</c:v>
                </c:pt>
                <c:pt idx="2">
                  <c:v>Jordan</c:v>
                </c:pt>
                <c:pt idx="3">
                  <c:v>Robin</c:v>
                </c:pt>
                <c:pt idx="4">
                  <c:v>Casey</c:v>
                </c:pt>
                <c:pt idx="5">
                  <c:v>Morgan</c:v>
                </c:pt>
              </c:strCache>
            </c:strRef>
          </c:cat>
          <c:val>
            <c:numRef>
              <c:f>'Volunteers'!$C$5:$C$10</c:f>
              <c:numCache>
                <c:formatCode>General</c:formatCode>
                <c:ptCount val="6"/>
                <c:pt idx="0">
                  <c:v>6</c:v>
                </c:pt>
                <c:pt idx="1">
                  <c:v>4</c:v>
                </c:pt>
                <c:pt idx="2">
                  <c:v>3</c:v>
                </c:pt>
                <c:pt idx="3">
                  <c:v>5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15</xdr:col>
      <xdr:colOff>38100</xdr:colOff>
      <xdr:row>13</xdr:row>
      <xdr:rowOff>285750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14</xdr:col>
      <xdr:colOff>457200</xdr:colOff>
      <xdr:row>12</xdr:row>
      <xdr:rowOff>219075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0</xdr:rowOff>
    </xdr:from>
    <xdr:to>
      <xdr:col>13</xdr:col>
      <xdr:colOff>304800</xdr:colOff>
      <xdr:row>12</xdr:row>
      <xdr:rowOff>219075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ardenBudget" displayName="GardenBudget" ref="A4:E10" totalsRowShown="0">
  <autoFilter ref="A4:E10"/>
  <tableColumns count="5">
    <tableColumn id="1" name="Category"/>
    <tableColumn id="2" name="Budget" dataDxfId="0"/>
    <tableColumn id="3" name="Actual" dataDxfId="0"/>
    <tableColumn id="4" name="Remaining" dataDxfId="0"/>
    <tableColumn id="5" name="Statu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Volunteers" displayName="Volunteers" ref="A4:D10" totalsRowShown="0">
  <autoFilter ref="A4:D10"/>
  <tableColumns count="4">
    <tableColumn id="1" name="Name"/>
    <tableColumn id="2" name="Team"/>
    <tableColumn id="3" name="Hours"/>
    <tableColumn id="4" name="Shift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5"/>
  <sheetViews>
    <sheetView showGridLines="0"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25" customHeight="1"/>
  <cols>
    <col min="1" max="1" width="26.7109375" customWidth="1"/>
    <col min="2" max="6" width="18.7109375" customWidth="1"/>
  </cols>
  <sheetData>
    <row r="1" spans="1:6" ht="40" customHeight="1">
      <c r="A1" s="1" t="s">
        <v>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4" spans="1:6" ht="25" customHeight="1">
      <c r="A4" t="s">
        <v>2</v>
      </c>
      <c r="B4" t="s">
        <v>3</v>
      </c>
      <c r="C4" t="s">
        <v>4</v>
      </c>
      <c r="D4" t="s">
        <v>5</v>
      </c>
      <c r="E4" t="s">
        <v>6</v>
      </c>
    </row>
    <row r="5" spans="1:6" ht="25" customHeight="1">
      <c r="A5" t="s">
        <v>7</v>
      </c>
      <c r="B5" s="3">
        <v>2400</v>
      </c>
      <c r="C5" s="3">
        <v>2150</v>
      </c>
      <c r="D5" s="3">
        <f>B5-C5</f>
        <v>250</v>
      </c>
      <c r="E5" s="4" t="str">
        <f>IF(D5&lt;0,"Over budget","On track")</f>
        <v>On track</v>
      </c>
    </row>
    <row r="6" spans="1:6" ht="25" customHeight="1">
      <c r="A6" t="s">
        <v>10</v>
      </c>
      <c r="B6" s="3">
        <v>1200</v>
      </c>
      <c r="C6" s="3">
        <v>1080</v>
      </c>
      <c r="D6" s="3">
        <f>B6-C6</f>
        <v>120</v>
      </c>
      <c r="E6" s="4" t="str">
        <f>IF(D6&lt;0,"Over budget","On track")</f>
        <v>On track</v>
      </c>
    </row>
    <row r="7" spans="1:6" ht="25" customHeight="1">
      <c r="A7" t="s">
        <v>13</v>
      </c>
      <c r="B7" s="3">
        <v>850</v>
      </c>
      <c r="C7" s="3">
        <v>920</v>
      </c>
      <c r="D7" s="3">
        <f>B7-C7</f>
        <v>-70</v>
      </c>
      <c r="E7" s="4" t="str">
        <f>IF(D7&lt;0,"Over budget","On track")</f>
        <v>Over budget</v>
      </c>
    </row>
    <row r="8" spans="1:6" ht="25" customHeight="1">
      <c r="A8" t="s">
        <v>16</v>
      </c>
      <c r="B8" s="3">
        <v>1100</v>
      </c>
      <c r="C8" s="3">
        <v>960</v>
      </c>
      <c r="D8" s="3">
        <f>B8-C8</f>
        <v>140</v>
      </c>
      <c r="E8" s="4" t="str">
        <f>IF(D8&lt;0,"Over budget","On track")</f>
        <v>On track</v>
      </c>
    </row>
    <row r="9" spans="1:6" ht="25" customHeight="1">
      <c r="A9" t="s">
        <v>19</v>
      </c>
      <c r="B9" s="3">
        <v>1450</v>
      </c>
      <c r="C9" s="3">
        <v>1320</v>
      </c>
      <c r="D9" s="3">
        <f>B9-C9</f>
        <v>130</v>
      </c>
      <c r="E9" s="4" t="str">
        <f>IF(D9&lt;0,"Over budget","On track")</f>
        <v>On track</v>
      </c>
    </row>
    <row r="10" spans="1:6" ht="25" customHeight="1">
      <c r="A10" t="s">
        <v>22</v>
      </c>
      <c r="B10" s="3">
        <v>500</v>
      </c>
      <c r="C10" s="3">
        <v>390</v>
      </c>
      <c r="D10" s="3">
        <f>B10-C10</f>
        <v>110</v>
      </c>
      <c r="E10" s="4" t="str">
        <f>IF(D10&lt;0,"Over budget","On track")</f>
        <v>On track</v>
      </c>
    </row>
    <row r="12" spans="1:6" ht="25" customHeight="1">
      <c r="A12" s="5" t="s">
        <v>25</v>
      </c>
      <c r="B12" s="6">
        <f>SUM(B5:B10)</f>
        <v>7500</v>
      </c>
      <c r="C12" s="6">
        <f>SUM(C5:C10)</f>
        <v>6820</v>
      </c>
      <c r="D12" s="6">
        <f>SUM(D5:D10)</f>
        <v>680</v>
      </c>
    </row>
    <row r="15" spans="1:6" ht="25" customHeight="1">
      <c r="A15" s="2" t="s">
        <v>26</v>
      </c>
      <c r="B15" s="2"/>
      <c r="C15" s="2"/>
      <c r="D15" s="2"/>
      <c r="E15" s="2"/>
    </row>
  </sheetData>
  <mergeCells count="3">
    <mergeCell ref="A1:F1"/>
    <mergeCell ref="A2:F2"/>
    <mergeCell ref="A15:E15"/>
  </mergeCells>
  <conditionalFormatting sqref="D5:D10">
    <cfRule type="cellIs" dxfId="1" priority="1" operator="lessThan">
      <formula>0</formula>
    </cfRule>
    <cfRule type="dataBar" priority="2">
      <dataBar>
        <cfvo type="min" val="0"/>
        <cfvo type="max" val="0"/>
        <color rgb="FF7DBBA0"/>
      </dataBar>
    </cfRule>
  </conditionalFormatting>
  <dataValidations count="1">
    <dataValidation type="decimal" operator="greaterThanOrEqual" allowBlank="1" showInputMessage="1" showErrorMessage="1" error="Use a number greater than or equal to zero." promptTitle="Actual spending" prompt="Enter a non-negative amount." sqref="C5:C10">
      <formula1>0</formula1>
    </dataValidation>
  </dataValidations>
  <pageMargins left="0.3" right="0.3" top="0.5" bottom="0.5" header="0.3" footer="0.3"/>
  <pageSetup paperSize="9" orientation="landscape"/>
  <headerFooter>
    <oddHeader>&amp;LField Notes / Community Garden</oddHeader>
    <oddFooter>&amp;RPage &amp;P of &amp;N</oddFooter>
  </headerFooter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25" customHeight="1" outlineLevelRow="1"/>
  <cols>
    <col min="1" max="6" width="18.7109375" customWidth="1"/>
  </cols>
  <sheetData>
    <row r="1" spans="1:6" ht="40" customHeight="1">
      <c r="A1" s="1" t="s">
        <v>27</v>
      </c>
      <c r="B1" s="1"/>
      <c r="C1" s="1"/>
      <c r="D1" s="1"/>
      <c r="E1" s="1"/>
      <c r="F1" s="1"/>
    </row>
    <row r="2" spans="1:6" ht="30" customHeight="1">
      <c r="A2" s="2" t="s">
        <v>28</v>
      </c>
      <c r="B2" s="2"/>
      <c r="C2" s="2"/>
      <c r="D2" s="2"/>
      <c r="E2" s="2"/>
      <c r="F2" s="2"/>
    </row>
    <row r="4" spans="1:6" ht="25" customHeight="1">
      <c r="A4" s="5" t="s">
        <v>29</v>
      </c>
      <c r="B4" s="5" t="s">
        <v>30</v>
      </c>
      <c r="C4" s="5" t="s">
        <v>31</v>
      </c>
      <c r="D4" s="5" t="s">
        <v>32</v>
      </c>
      <c r="E4" s="5" t="s">
        <v>33</v>
      </c>
      <c r="F4" s="5" t="s">
        <v>34</v>
      </c>
    </row>
    <row r="5" spans="1:6" ht="25" customHeight="1">
      <c r="A5" s="7">
        <v>46143</v>
      </c>
      <c r="B5" s="4">
        <v>24</v>
      </c>
      <c r="C5" s="4">
        <v>12</v>
      </c>
      <c r="D5" s="4">
        <v>20</v>
      </c>
      <c r="E5" s="8">
        <f>C5/D5</f>
        <v>0.6</v>
      </c>
      <c r="F5" s="4" t="str">
        <f>TEXT(A5,"mmm")</f>
        <v>May</v>
      </c>
    </row>
    <row r="6" spans="1:6" ht="25" customHeight="1" outlineLevel="1">
      <c r="A6" s="7">
        <v>46174</v>
      </c>
      <c r="B6" s="4">
        <v>32</v>
      </c>
      <c r="C6" s="4">
        <v>22</v>
      </c>
      <c r="D6" s="4">
        <v>25</v>
      </c>
      <c r="E6" s="8">
        <f>C6/D6</f>
        <v>0.88</v>
      </c>
      <c r="F6" s="4" t="str">
        <f>TEXT(A6,"mmm")</f>
        <v>Jun</v>
      </c>
    </row>
    <row r="7" spans="1:6" ht="25" customHeight="1" outlineLevel="1">
      <c r="A7" s="7">
        <v>46204</v>
      </c>
      <c r="B7" s="4">
        <v>44</v>
      </c>
      <c r="C7" s="4">
        <v>35</v>
      </c>
      <c r="D7" s="4">
        <v>30</v>
      </c>
      <c r="E7" s="8">
        <f>C7/D7</f>
        <v>1.1666666666666667</v>
      </c>
      <c r="F7" s="4" t="str">
        <f>TEXT(A7,"mmm")</f>
        <v>Jul</v>
      </c>
    </row>
    <row r="8" spans="1:6" ht="25" customHeight="1">
      <c r="A8" s="7">
        <v>46235</v>
      </c>
      <c r="B8" s="4">
        <v>50</v>
      </c>
      <c r="C8" s="4">
        <v>42</v>
      </c>
      <c r="D8" s="4">
        <v>40</v>
      </c>
      <c r="E8" s="8">
        <f>C8/D8</f>
        <v>1.05</v>
      </c>
      <c r="F8" s="4" t="str">
        <f>TEXT(A8,"mmm")</f>
        <v>Aug</v>
      </c>
    </row>
    <row r="9" spans="1:6" ht="25" customHeight="1">
      <c r="A9" s="7">
        <v>46266</v>
      </c>
      <c r="B9" s="4">
        <v>55</v>
      </c>
      <c r="C9" s="4">
        <v>48</v>
      </c>
      <c r="D9" s="4">
        <v>45</v>
      </c>
      <c r="E9" s="8">
        <f>C9/D9</f>
        <v>1.0666666666666667</v>
      </c>
      <c r="F9" s="4" t="str">
        <f>TEXT(A9,"mmm")</f>
        <v>Sep</v>
      </c>
    </row>
    <row r="10" spans="1:6" ht="25" customHeight="1">
      <c r="A10" s="7">
        <v>46296</v>
      </c>
      <c r="B10" s="4">
        <v>60</v>
      </c>
      <c r="C10" s="4">
        <v>54</v>
      </c>
      <c r="D10" s="4">
        <v>50</v>
      </c>
      <c r="E10" s="8">
        <f>C10/D10</f>
        <v>1.08</v>
      </c>
      <c r="F10" s="4" t="str">
        <f>TEXT(A10,"mmm")</f>
        <v>Oct</v>
      </c>
    </row>
  </sheetData>
  <mergeCells count="2">
    <mergeCell ref="A1:F1"/>
    <mergeCell ref="A2:F2"/>
  </mergeCells>
  <conditionalFormatting sqref="E5:E10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3" right="0.3" top="0.5" bottom="0.5" header="0.3" footer="0.3"/>
  <pageSetup paperSize="9" orientation="landscape"/>
  <headerFooter>
    <oddHeader>&amp;LField Notes / Community Garden</oddHeader>
    <oddFooter>&amp;RPage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25" customHeight="1"/>
  <cols>
    <col min="1" max="1" width="23.7109375" customWidth="1"/>
    <col min="2" max="6" width="18.7109375" customWidth="1"/>
  </cols>
  <sheetData>
    <row r="1" spans="1:6" ht="40" customHeight="1">
      <c r="A1" s="1" t="s">
        <v>35</v>
      </c>
      <c r="B1" s="1"/>
      <c r="C1" s="1"/>
      <c r="D1" s="1"/>
      <c r="E1" s="1"/>
      <c r="F1" s="1"/>
    </row>
    <row r="2" spans="1:6" ht="30" customHeight="1">
      <c r="A2" s="2" t="s">
        <v>36</v>
      </c>
      <c r="B2" s="2"/>
      <c r="C2" s="2"/>
      <c r="D2" s="2"/>
      <c r="E2" s="2"/>
      <c r="F2" s="2"/>
    </row>
    <row r="4" spans="1:6" ht="25" customHeight="1">
      <c r="A4" t="s">
        <v>37</v>
      </c>
      <c r="B4" t="s">
        <v>38</v>
      </c>
      <c r="C4" t="s">
        <v>39</v>
      </c>
      <c r="D4" t="s">
        <v>40</v>
      </c>
    </row>
    <row r="5" spans="1:6" ht="25" customHeight="1">
      <c r="A5" t="s">
        <v>41</v>
      </c>
      <c r="B5" t="s">
        <v>42</v>
      </c>
      <c r="C5">
        <v>6</v>
      </c>
      <c r="D5" t="s">
        <v>43</v>
      </c>
    </row>
    <row r="6" spans="1:6" ht="25" customHeight="1">
      <c r="A6" t="s">
        <v>44</v>
      </c>
      <c r="B6" t="s">
        <v>45</v>
      </c>
      <c r="C6">
        <v>4</v>
      </c>
      <c r="D6" t="s">
        <v>46</v>
      </c>
    </row>
    <row r="7" spans="1:6" ht="25" customHeight="1">
      <c r="A7" t="s">
        <v>47</v>
      </c>
      <c r="B7" t="s">
        <v>48</v>
      </c>
      <c r="C7">
        <v>3</v>
      </c>
      <c r="D7" t="s">
        <v>43</v>
      </c>
    </row>
    <row r="8" spans="1:6" ht="25" customHeight="1">
      <c r="A8" t="s">
        <v>49</v>
      </c>
      <c r="B8" t="s">
        <v>45</v>
      </c>
      <c r="C8">
        <v>5</v>
      </c>
      <c r="D8" t="s">
        <v>43</v>
      </c>
    </row>
    <row r="9" spans="1:6" ht="25" customHeight="1">
      <c r="A9" t="s">
        <v>50</v>
      </c>
      <c r="B9" t="s">
        <v>42</v>
      </c>
      <c r="C9">
        <v>4</v>
      </c>
      <c r="D9" t="s">
        <v>46</v>
      </c>
    </row>
    <row r="10" spans="1:6" ht="25" customHeight="1">
      <c r="A10" t="s">
        <v>51</v>
      </c>
      <c r="B10" t="s">
        <v>48</v>
      </c>
      <c r="C10">
        <v>2</v>
      </c>
      <c r="D10" t="s">
        <v>46</v>
      </c>
    </row>
    <row r="13" spans="1:6" ht="25" customHeight="1">
      <c r="A13" s="9" t="s">
        <v>52</v>
      </c>
    </row>
  </sheetData>
  <mergeCells count="2">
    <mergeCell ref="A1:F1"/>
    <mergeCell ref="A2:F2"/>
  </mergeCells>
  <dataValidations count="2">
    <dataValidation type="list" allowBlank="1" showInputMessage="1" showErrorMessage="1" sqref="B5:B10">
      <formula1>"Build,Garden,Welcome"</formula1>
    </dataValidation>
    <dataValidation type="whole" allowBlank="1" showInputMessage="1" showErrorMessage="1" sqref="C5:C10">
      <formula1>0</formula1>
      <formula2>12</formula2>
    </dataValidation>
  </dataValidations>
  <hyperlinks>
    <hyperlink ref="A13" location="'Explore'!A1" display="Explore the formulas →"/>
  </hyperlinks>
  <pageMargins left="0.3" right="0.3" top="0.5" bottom="0.5" header="0.3" footer="0.3"/>
  <pageSetup paperSize="9" orientation="landscape"/>
  <headerFooter>
    <oddHeader>&amp;LField Notes / Community Garden</oddHeader>
    <oddFooter>&amp;RPage &amp;P of &amp;N</oddFooter>
  </headerFooter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3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25" customHeight="1"/>
  <cols>
    <col min="1" max="1" width="32.7109375" customWidth="1"/>
    <col min="2" max="2" width="22.7109375" customWidth="1"/>
    <col min="3" max="6" width="19.7109375" customWidth="1"/>
  </cols>
  <sheetData>
    <row r="1" spans="1:6" ht="40" customHeight="1">
      <c r="A1" s="1" t="s">
        <v>53</v>
      </c>
      <c r="B1" s="1"/>
      <c r="C1" s="1"/>
      <c r="D1" s="1"/>
      <c r="E1" s="1"/>
      <c r="F1" s="1"/>
    </row>
    <row r="2" spans="1:6" ht="30" customHeight="1">
      <c r="A2" s="2" t="s">
        <v>54</v>
      </c>
      <c r="B2" s="2"/>
      <c r="C2" s="2"/>
      <c r="D2" s="2"/>
      <c r="E2" s="2"/>
      <c r="F2" s="2"/>
    </row>
    <row r="4" spans="1:6" ht="25" customHeight="1">
      <c r="A4" s="5" t="s">
        <v>55</v>
      </c>
      <c r="B4" s="5" t="s">
        <v>56</v>
      </c>
      <c r="C4" s="5" t="s">
        <v>57</v>
      </c>
    </row>
    <row r="5" spans="1:6" ht="25" customHeight="1">
      <c r="A5" s="4" t="s">
        <v>58</v>
      </c>
      <c r="B5" s="4">
        <f>SUM(Volunteers!C5:C10)</f>
        <v>24</v>
      </c>
      <c r="C5" s="2" t="s">
        <v>59</v>
      </c>
      <c r="D5" s="2"/>
      <c r="E5" s="2"/>
      <c r="F5" s="2"/>
    </row>
    <row r="6" spans="1:6" ht="25" customHeight="1">
      <c r="A6" s="4" t="s">
        <v>60</v>
      </c>
      <c r="B6" s="4">
        <f>SUMIF(Volunteers!B5:B10,"Garden",Volunteers!C5:C10)</f>
        <v>9</v>
      </c>
      <c r="C6" s="2" t="s">
        <v>61</v>
      </c>
      <c r="D6" s="2"/>
      <c r="E6" s="2"/>
      <c r="F6" s="2"/>
    </row>
    <row r="7" spans="1:6" ht="25" customHeight="1">
      <c r="A7" s="4" t="s">
        <v>62</v>
      </c>
      <c r="B7" s="4">
        <f>COUNTIF(Volunteers!D5:D10,"Morning")</f>
        <v>3</v>
      </c>
      <c r="C7" s="2" t="s">
        <v>63</v>
      </c>
      <c r="D7" s="2"/>
      <c r="E7" s="2"/>
      <c r="F7" s="2"/>
    </row>
    <row r="8" spans="1:6" ht="25" customHeight="1">
      <c r="A8" s="4" t="s">
        <v>64</v>
      </c>
      <c r="B8" s="4">
        <f>AVERAGE(Volunteers!C5:C10)</f>
        <v>4</v>
      </c>
      <c r="C8" s="2" t="s">
        <v>65</v>
      </c>
      <c r="D8" s="2"/>
      <c r="E8" s="2"/>
      <c r="F8" s="2"/>
    </row>
    <row r="9" spans="1:6" ht="25" customHeight="1">
      <c r="A9" s="4" t="s">
        <v>66</v>
      </c>
      <c r="B9" s="4">
        <f>MAX(Volunteers!C5:C10)</f>
        <v>6</v>
      </c>
      <c r="C9" s="2" t="s">
        <v>67</v>
      </c>
      <c r="D9" s="2"/>
      <c r="E9" s="2"/>
      <c r="F9" s="2"/>
    </row>
    <row r="10" spans="1:6" ht="25" customHeight="1">
      <c r="A10" s="4" t="s">
        <v>68</v>
      </c>
      <c r="B10" s="4">
        <f>ROUND(AVERAGE(Volunteers!C5:C10),1)</f>
        <v>4</v>
      </c>
      <c r="C10" s="2" t="s">
        <v>69</v>
      </c>
      <c r="D10" s="2"/>
      <c r="E10" s="2"/>
      <c r="F10" s="2"/>
    </row>
    <row r="11" spans="1:6" ht="25" customHeight="1">
      <c r="A11" s="4" t="s">
        <v>70</v>
      </c>
      <c r="B11" s="4" cm="1" t="str">
        <f t="array" ref="B11">_xlfn.XLOOKUP("Alex",Volunteers!A5:A10,Volunteers!B5:B10)</f>
        <v>Build</v>
      </c>
      <c r="C11" s="2" t="s">
        <v>71</v>
      </c>
      <c r="D11" s="2"/>
      <c r="E11" s="2"/>
      <c r="F11" s="2"/>
    </row>
    <row r="12" spans="1:6" ht="25" customHeight="1">
      <c r="A12" s="4" t="s">
        <v>72</v>
      </c>
      <c r="B12" s="4" t="str">
        <f>IFERROR(1/0,"Try another value")</f>
        <v>Try another value</v>
      </c>
      <c r="C12" s="2" t="s">
        <v>73</v>
      </c>
      <c r="D12" s="2"/>
      <c r="E12" s="2"/>
      <c r="F12" s="2"/>
    </row>
    <row r="13" spans="1:6" ht="25" customHeight="1">
      <c r="A13" s="4" t="s">
        <v>74</v>
      </c>
      <c r="B13" s="4">
        <f>LET(hours,SUM(Volunteers!C5:C10),hours*2)</f>
        <v>48</v>
      </c>
      <c r="C13" s="2" t="s">
        <v>75</v>
      </c>
      <c r="D13" s="2"/>
      <c r="E13" s="2"/>
      <c r="F13" s="2"/>
    </row>
    <row r="14" spans="1:6" ht="25" customHeight="1">
      <c r="A14" s="4" t="s">
        <v>76</v>
      </c>
      <c r="B14" s="4">
        <f>DoubleHours(12)</f>
        <v>24</v>
      </c>
      <c r="C14" s="2" t="s">
        <v>77</v>
      </c>
      <c r="D14" s="2"/>
      <c r="E14" s="2"/>
      <c r="F14" s="2"/>
    </row>
    <row r="17" spans="1:5" ht="25" customHeight="1">
      <c r="A17" s="5" t="s">
        <v>78</v>
      </c>
      <c r="C17" s="5" t="s">
        <v>79</v>
      </c>
      <c r="E17" s="5" t="s">
        <v>80</v>
      </c>
    </row>
    <row r="18" spans="1:5" ht="25" customHeight="1">
      <c r="A18" s="4" cm="1" t="str">
        <f t="array" ref="A18:A20">_xlfn.UNIQUE(Volunteers!B5:B10)</f>
        <v>Build</v>
      </c>
      <c r="C18" s="4" cm="1">
        <f t="array" ref="C18:C21">_xlfn.SEQUENCE(4)</f>
        <v>1</v>
      </c>
      <c r="E18" s="4" cm="1" t="str">
        <f t="array" ref="E18:E19">_xlfn._xlws.FILTER(Volunteers!A5:A10,Volunteers!B5:B10="Garden")</f>
        <v>Sam</v>
      </c>
    </row>
    <row r="19" spans="1:5" ht="25" customHeight="1">
      <c r="A19" s="4">
        <v>0</v>
      </c>
      <c r="C19" s="4">
        <v>0</v>
      </c>
      <c r="E19" s="4">
        <v>0</v>
      </c>
    </row>
    <row r="20" spans="1:5" ht="25" customHeight="1">
      <c r="A20" s="4">
        <v>0</v>
      </c>
      <c r="C20" s="4">
        <v>0</v>
      </c>
    </row>
    <row r="21" spans="1:5" ht="25" customHeight="1">
      <c r="C21" s="4">
        <v>0</v>
      </c>
    </row>
    <row r="24" spans="1:5" ht="25" customHeight="1">
      <c r="A24" s="5" t="s">
        <v>81</v>
      </c>
    </row>
    <row r="25" spans="1:5" ht="25" customHeight="1">
      <c r="A25" s="4" cm="1" t="str">
        <f t="array" ref="A25:A30">_xlfn._xlws.SORT(Volunteers!A5:A10)</f>
        <v>Alex</v>
      </c>
    </row>
    <row r="26" spans="1:5" ht="25" customHeight="1">
      <c r="A26" s="4">
        <v>0</v>
      </c>
    </row>
    <row r="27" spans="1:5" ht="25" customHeight="1">
      <c r="A27" s="4">
        <v>0</v>
      </c>
    </row>
    <row r="28" spans="1:5" ht="25" customHeight="1">
      <c r="A28" s="4">
        <v>0</v>
      </c>
    </row>
    <row r="29" spans="1:5" ht="25" customHeight="1">
      <c r="A29" s="4">
        <v>0</v>
      </c>
    </row>
    <row r="30" spans="1:5" ht="25" customHeight="1">
      <c r="A30" s="4">
        <v>0</v>
      </c>
    </row>
  </sheetData>
  <mergeCells count="12">
    <mergeCell ref="A1:F1"/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</mergeCells>
  <pageMargins left="0.3" right="0.3" top="0.5" bottom="0.5" header="0.3" footer="0.3"/>
  <pageSetup paperSize="9" orientation="landscape"/>
  <headerFooter>
    <oddHeader>&amp;LField Notes / Community Garden</oddHeader>
    <oddFooter>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14"/>
  <sheetViews>
    <sheetView showGridLines="0" workbookViewId="0"/>
  </sheetViews>
  <sheetFormatPr defaultRowHeight="25" customHeight="1"/>
  <cols>
    <col min="1" max="1" width="30.7109375" customWidth="1"/>
    <col min="2" max="6" width="18.7109375" customWidth="1"/>
  </cols>
  <sheetData>
    <row r="1" spans="1:6" ht="40" customHeight="1">
      <c r="A1" s="1" t="s">
        <v>82</v>
      </c>
      <c r="B1" s="1"/>
      <c r="C1" s="1"/>
      <c r="D1" s="1"/>
      <c r="E1" s="1"/>
      <c r="F1" s="1"/>
    </row>
    <row r="2" spans="1:6" ht="30" customHeight="1">
      <c r="A2" s="2" t="s">
        <v>83</v>
      </c>
      <c r="B2" s="2"/>
      <c r="C2" s="2"/>
      <c r="D2" s="2"/>
      <c r="E2" s="2"/>
      <c r="F2" s="2"/>
    </row>
    <row r="4" spans="1:6" ht="25" customHeight="1">
      <c r="A4" s="5" t="s">
        <v>84</v>
      </c>
      <c r="B4" s="5" t="s">
        <v>85</v>
      </c>
      <c r="C4" s="5" t="s">
        <v>86</v>
      </c>
    </row>
    <row r="5" spans="1:6" ht="25" customHeight="1">
      <c r="A5" s="4" t="s">
        <v>87</v>
      </c>
      <c r="B5" s="10">
        <v>6</v>
      </c>
      <c r="C5" s="4" t="s">
        <v>88</v>
      </c>
      <c r="D5" s="4"/>
      <c r="E5" s="4"/>
      <c r="F5" s="4"/>
    </row>
    <row r="6" spans="1:6" ht="25" customHeight="1">
      <c r="A6" s="4" t="s">
        <v>89</v>
      </c>
      <c r="B6" s="10">
        <v>12</v>
      </c>
      <c r="C6" s="4" t="s">
        <v>90</v>
      </c>
      <c r="D6" s="4"/>
      <c r="E6" s="4"/>
      <c r="F6" s="4"/>
    </row>
    <row r="7" spans="1:6" ht="25" customHeight="1">
      <c r="A7" s="4" t="s">
        <v>91</v>
      </c>
      <c r="B7" s="10">
        <v>3</v>
      </c>
      <c r="C7" s="4" t="s">
        <v>92</v>
      </c>
      <c r="D7" s="4"/>
      <c r="E7" s="4"/>
      <c r="F7" s="4"/>
    </row>
    <row r="9" spans="1:6" ht="25" customHeight="1">
      <c r="A9" s="5" t="s">
        <v>93</v>
      </c>
      <c r="B9" s="4">
        <f>B5*B6</f>
        <v>72</v>
      </c>
    </row>
    <row r="10" spans="1:6" ht="25" customHeight="1">
      <c r="A10" s="5" t="s">
        <v>94</v>
      </c>
      <c r="B10" s="3">
        <f>B9*B7</f>
        <v>216</v>
      </c>
    </row>
    <row r="11" spans="1:6" ht="25" customHeight="1">
      <c r="A11" s="5" t="s">
        <v>95</v>
      </c>
      <c r="B11" s="8">
        <f>B10/TotalBudget</f>
        <v>0.0288</v>
      </c>
    </row>
    <row r="14" spans="1:6" ht="25" customHeight="1">
      <c r="A14" s="2" t="s">
        <v>96</v>
      </c>
      <c r="B14" s="2"/>
      <c r="C14" s="2"/>
      <c r="D14" s="2"/>
      <c r="E14" s="2"/>
      <c r="F14" s="2"/>
    </row>
  </sheetData>
  <sheetProtection sheet="1" objects="1" scenarios="1"/>
  <mergeCells count="6">
    <mergeCell ref="A1:F1"/>
    <mergeCell ref="A2:F2"/>
    <mergeCell ref="C5:F5"/>
    <mergeCell ref="C6:F6"/>
    <mergeCell ref="C7:F7"/>
    <mergeCell ref="A14:F14"/>
  </mergeCells>
  <dataValidations count="1">
    <dataValidation type="whole" operator="greaterThan" allowBlank="1" showInputMessage="1" showErrorMessage="1" sqref="B5:B7">
      <formula1>0</formula1>
    </dataValidation>
  </dataValidations>
  <pageMargins left="0.3" right="0.3" top="0.5" bottom="0.5" header="0.3" footer="0.3"/>
  <pageSetup paperSize="9" orientation="landscape"/>
  <headerFooter>
    <oddHeader>&amp;LField Notes / Community Garden</oddHeader>
    <oddFooter>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Garden budget</vt:lpstr>
      <vt:lpstr>Season</vt:lpstr>
      <vt:lpstr>Volunteers</vt:lpstr>
      <vt:lpstr>Explore</vt:lpstr>
      <vt:lpstr>Protected plan</vt:lpstr>
      <vt:lpstr>Explore!Print_Area</vt:lpstr>
      <vt:lpstr>'Garden budget'!Print_Area</vt:lpstr>
      <vt:lpstr>'Protected plan'!Print_Area</vt:lpstr>
      <vt:lpstr>Season!Print_Area</vt:lpstr>
      <vt:lpstr>Volunteers!Print_Area</vt:lpstr>
      <vt:lpstr>TotalBudget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 community garden, in numbers</dc:title>
  <dc:creator>Starling Office</dc:creator>
  <cp:lastModifiedBy>Starling Office</cp:lastModifiedBy>
  <dcterms:created xsi:type="dcterms:W3CDTF">2026-10-14T03:03:53Z</dcterms:created>
  <dcterms:modified xsi:type="dcterms:W3CDTF">2026-10-14T03:03:53Z</dcterms:modified>
</cp:coreProperties>
</file>